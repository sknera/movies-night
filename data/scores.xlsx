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zon 4 - Oceny" sheetId="1" state="visible" r:id="rId1"/>
    <sheet xmlns:r="http://schemas.openxmlformats.org/officeDocument/2006/relationships" name="Sezon 3 - Oceny" sheetId="2" state="visible" r:id="rId2"/>
    <sheet xmlns:r="http://schemas.openxmlformats.org/officeDocument/2006/relationships" name="Sezon 2 - Oceny" sheetId="3" state="visible" r:id="rId3"/>
    <sheet xmlns:r="http://schemas.openxmlformats.org/officeDocument/2006/relationships" name="Sezon 1 - Oceny" sheetId="4" state="visible" r:id="rId4"/>
    <sheet xmlns:r="http://schemas.openxmlformats.org/officeDocument/2006/relationships" name="Lista" sheetId="5" state="visible" r:id="rId5"/>
  </sheets>
  <definedNames>
    <definedName name="Z_00BCFC76_86B0_43C4_8118_EBF352685225_.wvu.FilterData" localSheetId="2" hidden="1">'Sezon 2 - Oceny'!$A$1:$Q$49</definedName>
    <definedName name="Z_19FFE430_5855_4AB5_BFBB_22E6F156BEC6_.wvu.FilterData" localSheetId="2" hidden="1">'Sezon 2 - Oceny'!$A$1:$Q$1</definedName>
    <definedName name="_xlnm._FilterDatabase" localSheetId="2" hidden="1">'Sezon 2 - Oceny'!$A$1:$Q$49</definedName>
    <definedName name="Z_00BCFC76_86B0_43C4_8118_EBF352685225_.wvu.FilterData" localSheetId="3" hidden="1">'Sezon 1 - Oceny'!$A$1:$AH$48</definedName>
    <definedName name="Z_19FFE430_5855_4AB5_BFBB_22E6F156BEC6_.wvu.FilterData" localSheetId="3" hidden="1">'Sezon 1 - Oceny'!$A$1:$AL$1</definedName>
    <definedName name="_xlnm._FilterDatabase" localSheetId="3" hidden="1">'Sezon 1 - Oceny'!$A$1:$AH$48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hh:mm"/>
  </numFmts>
  <fonts count="31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0"/>
      <scheme val="minor"/>
    </font>
    <font>
      <name val="Arial"/>
      <color rgb="FFFFFFFF"/>
      <scheme val="minor"/>
    </font>
    <font>
      <name val="Arial"/>
      <color theme="1"/>
    </font>
    <font>
      <name val="Roboto"/>
      <color rgb="FF000000"/>
    </font>
    <font>
      <name val="Arial"/>
      <i val="1"/>
      <color theme="1"/>
      <scheme val="minor"/>
    </font>
    <font>
      <name val="Arial"/>
      <color rgb="FFEA9999"/>
      <scheme val="minor"/>
    </font>
    <font>
      <name val="Arial"/>
      <i val="1"/>
      <color theme="1"/>
    </font>
    <font>
      <name val="Arial"/>
      <color rgb="FFEA9999"/>
    </font>
    <font>
      <name val="Arial"/>
      <color rgb="FF000000"/>
      <scheme val="minor"/>
    </font>
    <font>
      <name val="Inconsolata"/>
      <color rgb="FF000000"/>
      <sz val="11"/>
    </font>
    <font>
      <name val="Arial"/>
      <b val="1"/>
      <color theme="1"/>
      <scheme val="minor"/>
    </font>
    <font>
      <name val="Arial"/>
      <color rgb="FF7E3794"/>
      <sz val="11"/>
      <scheme val="minor"/>
    </font>
    <font>
      <name val="Arial"/>
      <color rgb="FF000000"/>
      <sz val="11"/>
      <scheme val="minor"/>
    </font>
    <font>
      <name val="Arial"/>
      <color rgb="FF666666"/>
      <scheme val="minor"/>
    </font>
    <font>
      <name val="Arial"/>
      <color rgb="FF00FF00"/>
      <scheme val="minor"/>
    </font>
    <font>
      <name val="Arial"/>
      <strike val="1"/>
      <color theme="1"/>
      <scheme val="minor"/>
    </font>
    <font>
      <name val="&quot;Fira Sans&quot;"/>
      <b val="1"/>
      <color rgb="FF000000"/>
      <sz val="17"/>
    </font>
    <font>
      <name val="Lato"/>
      <color rgb="FF0000FF"/>
      <sz val="14"/>
      <u val="single"/>
    </font>
    <font>
      <name val="Arial"/>
      <color rgb="FF1A0DAB"/>
      <u val="single"/>
    </font>
    <font>
      <name val="Verdana"/>
      <b val="1"/>
      <color rgb="FF136CB2"/>
      <sz val="11"/>
      <u val="single"/>
    </font>
    <font>
      <name val="Arial"/>
      <b val="1"/>
      <color rgb="FF000000"/>
      <sz val="14"/>
      <scheme val="minor"/>
    </font>
    <font>
      <name val="Arial"/>
      <color rgb="FF202124"/>
      <sz val="12"/>
    </font>
    <font>
      <name val="Arial"/>
      <color theme="1"/>
      <sz val="11"/>
      <u val="single"/>
    </font>
    <font>
      <name val="Roboto"/>
      <b val="1"/>
      <color theme="1"/>
    </font>
    <font>
      <name val="Roboto"/>
      <color theme="1"/>
      <sz val="12"/>
      <u val="single"/>
    </font>
    <font>
      <name val="Yantramanav"/>
      <b val="1"/>
      <color theme="1"/>
      <sz val="11"/>
    </font>
    <font>
      <name val="Arial"/>
      <color rgb="FFFFFFFF"/>
      <sz val="11"/>
    </font>
    <font>
      <name val="&quot;Segoe UI Historic&quot;"/>
      <color rgb="FFFFFFFF"/>
      <sz val="11"/>
    </font>
    <font>
      <color rgb="FFFFFFFF"/>
    </font>
  </fonts>
  <fills count="19">
    <fill>
      <patternFill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theme="5"/>
        <bgColor theme="5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4C7C3"/>
        <bgColor rgb="FFF4C7C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242526"/>
        <bgColor rgb="FF242526"/>
      </patternFill>
    </fill>
  </fills>
  <borders count="3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1" fillId="3" borderId="0" pivotButton="0" quotePrefix="0" xfId="0"/>
    <xf numFmtId="0" fontId="4" fillId="0" borderId="0" applyAlignment="1" pivotButton="0" quotePrefix="0" xfId="0">
      <alignment vertical="bottom"/>
    </xf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5" fillId="4" borderId="0" applyAlignment="1" pivotButton="0" quotePrefix="0" xfId="0">
      <alignment vertical="bottom"/>
    </xf>
    <xf numFmtId="0" fontId="4" fillId="3" borderId="0" applyAlignment="1" pivotButton="0" quotePrefix="0" xfId="0">
      <alignment horizontal="right" vertical="bottom"/>
    </xf>
    <xf numFmtId="0" fontId="5" fillId="4" borderId="0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0" fontId="4" fillId="3" borderId="0" applyAlignment="1" pivotButton="0" quotePrefix="0" xfId="0">
      <alignment horizontal="right" vertical="bottom"/>
    </xf>
    <xf numFmtId="0" fontId="1" fillId="3" borderId="0" pivotButton="0" quotePrefix="0" xfId="0"/>
    <xf numFmtId="0" fontId="4" fillId="0" borderId="0" applyAlignment="1" pivotButton="0" quotePrefix="0" xfId="0">
      <alignment vertical="bottom"/>
    </xf>
    <xf numFmtId="0" fontId="6" fillId="0" borderId="1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bottom"/>
    </xf>
    <xf numFmtId="0" fontId="4" fillId="5" borderId="0" applyAlignment="1" pivotButton="0" quotePrefix="0" xfId="0">
      <alignment vertical="bottom"/>
    </xf>
    <xf numFmtId="0" fontId="9" fillId="5" borderId="0" applyAlignment="1" pivotButton="0" quotePrefix="0" xfId="0">
      <alignment vertical="bottom"/>
    </xf>
    <xf numFmtId="0" fontId="9" fillId="5" borderId="0" applyAlignment="1" pivotButton="0" quotePrefix="0" xfId="0">
      <alignment vertical="bottom"/>
    </xf>
    <xf numFmtId="0" fontId="7" fillId="5" borderId="0" pivotButton="0" quotePrefix="0" xfId="0"/>
    <xf numFmtId="0" fontId="4" fillId="5" borderId="0" applyAlignment="1" pivotButton="0" quotePrefix="0" xfId="0">
      <alignment vertical="bottom"/>
    </xf>
    <xf numFmtId="0" fontId="1" fillId="5" borderId="0" pivotButton="0" quotePrefix="0" xfId="0"/>
    <xf numFmtId="0" fontId="10" fillId="5" borderId="0" pivotButton="0" quotePrefix="0" xfId="0"/>
    <xf numFmtId="0" fontId="8" fillId="6" borderId="0" applyAlignment="1" pivotButton="0" quotePrefix="0" xfId="0">
      <alignment vertical="bottom"/>
    </xf>
    <xf numFmtId="0" fontId="4" fillId="7" borderId="0" applyAlignment="1" pivotButton="0" quotePrefix="0" xfId="0">
      <alignment vertical="bottom"/>
    </xf>
    <xf numFmtId="0" fontId="9" fillId="7" borderId="0" applyAlignment="1" pivotButton="0" quotePrefix="0" xfId="0">
      <alignment vertical="bottom"/>
    </xf>
    <xf numFmtId="0" fontId="8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164" fontId="8" fillId="7" borderId="0" applyAlignment="1" pivotButton="0" quotePrefix="0" xfId="0">
      <alignment horizontal="right" vertical="bottom"/>
    </xf>
    <xf numFmtId="0" fontId="4" fillId="8" borderId="0" applyAlignment="1" pivotButton="0" quotePrefix="0" xfId="0">
      <alignment horizontal="right" vertical="bottom"/>
    </xf>
    <xf numFmtId="0" fontId="9" fillId="8" borderId="0" applyAlignment="1" pivotButton="0" quotePrefix="0" xfId="0">
      <alignment horizontal="right" vertical="bottom"/>
    </xf>
    <xf numFmtId="0" fontId="9" fillId="8" borderId="0" applyAlignment="1" pivotButton="0" quotePrefix="0" xfId="0">
      <alignment vertical="bottom"/>
    </xf>
    <xf numFmtId="0" fontId="7" fillId="8" borderId="0" pivotButton="0" quotePrefix="0" xfId="0"/>
    <xf numFmtId="0" fontId="4" fillId="8" borderId="0" applyAlignment="1" pivotButton="0" quotePrefix="0" xfId="0">
      <alignment vertical="bottom"/>
    </xf>
    <xf numFmtId="0" fontId="1" fillId="8" borderId="0" pivotButton="0" quotePrefix="0" xfId="0"/>
    <xf numFmtId="164" fontId="8" fillId="0" borderId="0" applyAlignment="1" pivotButton="0" quotePrefix="0" xfId="0">
      <alignment horizontal="right" vertical="bottom"/>
    </xf>
    <xf numFmtId="0" fontId="4" fillId="7" borderId="0" applyAlignment="1" pivotButton="0" quotePrefix="0" xfId="0">
      <alignment vertical="bottom"/>
    </xf>
    <xf numFmtId="0" fontId="4" fillId="8" borderId="0" applyAlignment="1" pivotButton="0" quotePrefix="0" xfId="0">
      <alignment vertical="bottom"/>
    </xf>
    <xf numFmtId="0" fontId="9" fillId="8" borderId="0" applyAlignment="1" pivotButton="0" quotePrefix="0" xfId="0">
      <alignment vertical="bottom"/>
    </xf>
    <xf numFmtId="0" fontId="1" fillId="7" borderId="0" pivotButton="0" quotePrefix="0" xfId="0"/>
    <xf numFmtId="0" fontId="1" fillId="8" borderId="0" pivotButton="0" quotePrefix="0" xfId="0"/>
    <xf numFmtId="0" fontId="7" fillId="8" borderId="0" pivotButton="0" quotePrefix="0" xfId="0"/>
    <xf numFmtId="0" fontId="1" fillId="0" borderId="0" applyAlignment="1" pivotButton="0" quotePrefix="0" xfId="0">
      <alignment horizontal="right"/>
    </xf>
    <xf numFmtId="164" fontId="8" fillId="7" borderId="0" applyAlignment="1" pivotButton="0" quotePrefix="0" xfId="0">
      <alignment vertical="bottom"/>
    </xf>
    <xf numFmtId="0" fontId="7" fillId="0" borderId="0" pivotButton="0" quotePrefix="0" xfId="0"/>
    <xf numFmtId="164" fontId="6" fillId="0" borderId="0" pivotButton="0" quotePrefix="0" xfId="0"/>
    <xf numFmtId="0" fontId="1" fillId="0" borderId="0" applyAlignment="1" pivotButton="0" quotePrefix="0" xfId="0">
      <alignment horizontal="right"/>
    </xf>
    <xf numFmtId="0" fontId="1" fillId="9" borderId="0" pivotButton="0" quotePrefix="0" xfId="0"/>
    <xf numFmtId="0" fontId="7" fillId="9" borderId="0" pivotButton="0" quotePrefix="0" xfId="0"/>
    <xf numFmtId="0" fontId="1" fillId="9" borderId="0" pivotButton="0" quotePrefix="0" xfId="0"/>
    <xf numFmtId="0" fontId="7" fillId="9" borderId="0" pivotButton="0" quotePrefix="0" xfId="0"/>
    <xf numFmtId="164" fontId="8" fillId="0" borderId="0" applyAlignment="1" pivotButton="0" quotePrefix="0" xfId="0">
      <alignment vertical="bottom"/>
    </xf>
    <xf numFmtId="0" fontId="6" fillId="0" borderId="0" pivotButton="0" quotePrefix="0" xfId="0"/>
    <xf numFmtId="164" fontId="6" fillId="7" borderId="0" pivotButton="0" quotePrefix="0" xfId="0"/>
    <xf numFmtId="0" fontId="6" fillId="7" borderId="0" pivotButton="0" quotePrefix="0" xfId="0"/>
    <xf numFmtId="0" fontId="10" fillId="8" borderId="0" pivotButton="0" quotePrefix="0" xfId="0"/>
    <xf numFmtId="0" fontId="1" fillId="10" borderId="2" pivotButton="0" quotePrefix="0" xfId="0"/>
    <xf numFmtId="4" fontId="1" fillId="10" borderId="2" applyAlignment="1" pivotButton="0" quotePrefix="0" xfId="0">
      <alignment horizontal="center"/>
    </xf>
    <xf numFmtId="0" fontId="1" fillId="11" borderId="2" pivotButton="0" quotePrefix="0" xfId="0"/>
    <xf numFmtId="4" fontId="1" fillId="11" borderId="2" pivotButton="0" quotePrefix="0" xfId="0"/>
    <xf numFmtId="2" fontId="1" fillId="11" borderId="2" pivotButton="0" quotePrefix="0" xfId="0"/>
    <xf numFmtId="0" fontId="1" fillId="11" borderId="2" pivotButton="0" quotePrefix="0" xfId="0"/>
    <xf numFmtId="0" fontId="11" fillId="11" borderId="2" pivotButton="0" quotePrefix="0" xfId="0"/>
    <xf numFmtId="4" fontId="1" fillId="10" borderId="2" pivotButton="0" quotePrefix="0" xfId="0"/>
    <xf numFmtId="0" fontId="1" fillId="10" borderId="2" pivotButton="0" quotePrefix="0" xfId="0"/>
    <xf numFmtId="4" fontId="1" fillId="10" borderId="2" pivotButton="0" quotePrefix="0" xfId="0"/>
    <xf numFmtId="0" fontId="1" fillId="0" borderId="2" pivotButton="0" quotePrefix="0" xfId="0"/>
    <xf numFmtId="4" fontId="1" fillId="0" borderId="2" pivotButton="0" quotePrefix="0" xfId="0"/>
    <xf numFmtId="0" fontId="1" fillId="0" borderId="2" pivotButton="0" quotePrefix="0" xfId="0"/>
    <xf numFmtId="0" fontId="5" fillId="0" borderId="2" pivotButton="0" quotePrefix="0" xfId="0"/>
    <xf numFmtId="165" fontId="1" fillId="0" borderId="2" pivotButton="0" quotePrefix="0" xfId="0"/>
    <xf numFmtId="165" fontId="1" fillId="10" borderId="2" pivotButton="0" quotePrefix="0" xfId="0"/>
    <xf numFmtId="0" fontId="12" fillId="0" borderId="2" pivotButton="0" quotePrefix="0" xfId="0"/>
    <xf numFmtId="0" fontId="13" fillId="0" borderId="2" pivotButton="0" quotePrefix="0" xfId="0"/>
    <xf numFmtId="2" fontId="1" fillId="0" borderId="2" pivotButton="0" quotePrefix="0" xfId="0"/>
    <xf numFmtId="4" fontId="1" fillId="0" borderId="0" pivotButton="0" quotePrefix="0" xfId="0"/>
    <xf numFmtId="0" fontId="1" fillId="12" borderId="0" pivotButton="0" quotePrefix="0" xfId="0"/>
    <xf numFmtId="4" fontId="1" fillId="0" borderId="0" applyAlignment="1" pivotButton="0" quotePrefix="0" xfId="0">
      <alignment horizontal="center"/>
    </xf>
    <xf numFmtId="4" fontId="1" fillId="13" borderId="0" applyAlignment="1" pivotButton="0" quotePrefix="0" xfId="0">
      <alignment horizontal="center"/>
    </xf>
    <xf numFmtId="4" fontId="1" fillId="14" borderId="0" applyAlignment="1" pivotButton="0" quotePrefix="0" xfId="0">
      <alignment horizontal="center"/>
    </xf>
    <xf numFmtId="0" fontId="1" fillId="15" borderId="0" pivotButton="0" quotePrefix="0" xfId="0"/>
    <xf numFmtId="4" fontId="1" fillId="16" borderId="0" pivotButton="0" quotePrefix="0" xfId="0"/>
    <xf numFmtId="2" fontId="1" fillId="15" borderId="0" pivotButton="0" quotePrefix="0" xfId="0"/>
    <xf numFmtId="0" fontId="1" fillId="15" borderId="0" pivotButton="0" quotePrefix="0" xfId="0"/>
    <xf numFmtId="0" fontId="11" fillId="15" borderId="0" pivotButton="0" quotePrefix="0" xfId="0"/>
    <xf numFmtId="0" fontId="1" fillId="16" borderId="0" pivotButton="0" quotePrefix="0" xfId="0"/>
    <xf numFmtId="0" fontId="1" fillId="16" borderId="0" pivotButton="0" quotePrefix="0" xfId="0"/>
    <xf numFmtId="4" fontId="14" fillId="16" borderId="0" applyAlignment="1" pivotButton="0" quotePrefix="0" xfId="0">
      <alignment horizontal="center"/>
    </xf>
    <xf numFmtId="4" fontId="1" fillId="16" borderId="0" pivotButton="0" quotePrefix="0" xfId="0"/>
    <xf numFmtId="4" fontId="14" fillId="4" borderId="0" applyAlignment="1" pivotButton="0" quotePrefix="0" xfId="0">
      <alignment horizontal="center"/>
    </xf>
    <xf numFmtId="0" fontId="5" fillId="16" borderId="0" pivotButton="0" quotePrefix="0" xfId="0"/>
    <xf numFmtId="0" fontId="1" fillId="14" borderId="0" pivotButton="0" quotePrefix="0" xfId="0"/>
    <xf numFmtId="4" fontId="14" fillId="14" borderId="0" applyAlignment="1" pivotButton="0" quotePrefix="0" xfId="0">
      <alignment horizontal="center"/>
    </xf>
    <xf numFmtId="4" fontId="1" fillId="14" borderId="0" pivotButton="0" quotePrefix="0" xfId="0"/>
    <xf numFmtId="0" fontId="5" fillId="4" borderId="0" pivotButton="0" quotePrefix="0" xfId="0"/>
    <xf numFmtId="165" fontId="1" fillId="16" borderId="0" pivotButton="0" quotePrefix="0" xfId="0"/>
    <xf numFmtId="165" fontId="1" fillId="0" borderId="0" pivotButton="0" quotePrefix="0" xfId="0"/>
    <xf numFmtId="4" fontId="1" fillId="0" borderId="0" pivotButton="0" quotePrefix="0" xfId="0"/>
    <xf numFmtId="4" fontId="1" fillId="0" borderId="0" applyAlignment="1" pivotButton="0" quotePrefix="0" xfId="0">
      <alignment horizontal="center"/>
    </xf>
    <xf numFmtId="2" fontId="1" fillId="0" borderId="0" pivotButton="0" quotePrefix="0" xfId="0"/>
    <xf numFmtId="0" fontId="1" fillId="0" borderId="0" pivotButton="0" quotePrefix="0" xfId="0"/>
    <xf numFmtId="0" fontId="11" fillId="14" borderId="0" pivotButton="0" quotePrefix="0" xfId="0"/>
    <xf numFmtId="0" fontId="15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7" fillId="0" borderId="0" pivotButton="0" quotePrefix="0" xfId="0"/>
    <xf numFmtId="0" fontId="18" fillId="4" borderId="0" applyAlignment="1" pivotButton="0" quotePrefix="0" xfId="0">
      <alignment horizontal="left"/>
    </xf>
    <xf numFmtId="0" fontId="19" fillId="0" borderId="0" pivotButton="0" quotePrefix="0" xfId="0"/>
    <xf numFmtId="0" fontId="20" fillId="4" borderId="0" applyAlignment="1" pivotButton="0" quotePrefix="0" xfId="0">
      <alignment horizontal="left"/>
    </xf>
    <xf numFmtId="0" fontId="21" fillId="0" borderId="0" pivotButton="0" quotePrefix="0" xfId="0"/>
    <xf numFmtId="0" fontId="22" fillId="4" borderId="0" pivotButton="0" quotePrefix="0" xfId="0"/>
    <xf numFmtId="0" fontId="23" fillId="4" borderId="0" applyAlignment="1" pivotButton="0" quotePrefix="0" xfId="0">
      <alignment horizontal="left"/>
    </xf>
    <xf numFmtId="0" fontId="1" fillId="17" borderId="0" pivotButton="0" quotePrefix="0" xfId="0"/>
    <xf numFmtId="0" fontId="1" fillId="14" borderId="0" pivotButton="0" quotePrefix="0" xfId="0"/>
    <xf numFmtId="0" fontId="24" fillId="14" borderId="0" applyAlignment="1" pivotButton="0" quotePrefix="0" xfId="0">
      <alignment horizontal="left"/>
    </xf>
    <xf numFmtId="0" fontId="25" fillId="14" borderId="0" pivotButton="0" quotePrefix="0" xfId="0"/>
    <xf numFmtId="0" fontId="26" fillId="14" borderId="0" pivotButton="0" quotePrefix="0" xfId="0"/>
    <xf numFmtId="0" fontId="27" fillId="14" borderId="0" pivotButton="0" quotePrefix="0" xfId="0"/>
    <xf numFmtId="0" fontId="28" fillId="18" borderId="0" pivotButton="0" quotePrefix="0" xfId="0"/>
    <xf numFmtId="0" fontId="29" fillId="18" borderId="0" pivotButton="0" quotePrefix="0" xfId="0"/>
    <xf numFmtId="0" fontId="0" fillId="0" borderId="0" pivotButton="0" quotePrefix="0" xfId="0"/>
    <xf numFmtId="0" fontId="30" fillId="2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1" defaultTableStyle="TableStyleMedium9" defaultPivotStyle="PivotStyleLight16">
    <tableStyle name="Sezon 1 - Oceny-style" pivot="0" count="3">
      <tableStyleElement type="headerRow" dxfId="3"/>
      <tableStyleElement type="firstRowStripe" dxfId="4"/>
      <tableStyleElement type="secondRow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popularność spotkań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'Sezon 1 - Oceny'!$BU$2</f>
            </strRef>
          </tx>
          <spPr>
            <a:ln xmlns:a="http://schemas.openxmlformats.org/drawingml/2006/main" cmpd="sng">
              <a:solidFill>
                <a:srgbClr val="4285F4"/>
              </a:solidFill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4285F4"/>
              </a:solidFill>
              <a:ln xmlns:a="http://schemas.openxmlformats.org/drawingml/2006/main" cmpd="sng">
                <a:solidFill>
                  <a:srgbClr val="4285F4"/>
                </a:solidFill>
                <a:prstDash val="solid"/>
              </a:ln>
            </spPr>
          </marker>
          <dPt>
            <idx val="2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spPr>
              <a:ln xmlns:a="http://schemas.openxmlformats.org/drawingml/2006/main">
                <a:prstDash val="solid"/>
              </a:ln>
            </spPr>
          </dPt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274E13"/>
                    </a:solidFill>
                    <a:latin typeface="Verdana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'Sezon 1 - Oceny'!$BU$3:$BU$119</f>
              <numCache/>
            </numRef>
          </val>
          <smooth val="0"/>
        </ser>
        <axId val="1214332880"/>
        <axId val="1865041898"/>
      </lineChart>
      <catAx>
        <axId val="121433288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cross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865041898"/>
        <lblOffset val="100"/>
      </catAx>
      <valAx>
        <axId val="186504189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ile osob</a:t>
                </a:r>
              </a:p>
            </rich>
          </tx>
          <overlay val="0"/>
        </title>
        <numFmt formatCode="General" sourceLinked="1"/>
        <majorTickMark val="cross"/>
        <minorTickMark val="cross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214332880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ile filmow obejrzeli</a:t>
            </a:r>
          </a:p>
        </rich>
      </tx>
      <overlay val="0"/>
    </title>
    <plotArea>
      <layout/>
      <barChart>
        <barDir val="col"/>
        <grouping val="clustered"/>
        <gapWidth val="150"/>
        <axId val="202207344"/>
        <axId val="1675984918"/>
      </barChart>
      <catAx>
        <axId val="20220734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675984918"/>
        <lblOffset val="100"/>
      </catAx>
      <valAx>
        <axId val="167598491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02207344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37</col>
      <colOff>476250</colOff>
      <row>226</row>
      <rowOff>57150</rowOff>
    </from>
    <ext cx="11210925" cy="4867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34</col>
      <colOff>704850</colOff>
      <row>224</row>
      <rowOff>47625</rowOff>
    </from>
    <ext cx="11115675" cy="37433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tables/table1.xml><?xml version="1.0" encoding="utf-8"?>
<table xmlns="http://schemas.openxmlformats.org/spreadsheetml/2006/main" id="1" name="Table_1" displayName="Table_1" ref="B3:B100" headerRowCount="0">
  <tableColumns count="1">
    <tableColumn id="1" name="Column1"/>
  </tableColumns>
  <tableStyleInfo name="Sezon 1 - Oceny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filmweb.pl/film/Na+no%C5%BCe-2019-816979" TargetMode="External" Id="rId1"/><Relationship Type="http://schemas.openxmlformats.org/officeDocument/2006/relationships/hyperlink" Target="https://www.filmweb.pl/film/Mamma+Mia+Here+We+Go+Again-2018-790375" TargetMode="External" Id="rId2"/><Relationship Type="http://schemas.openxmlformats.org/officeDocument/2006/relationships/hyperlink" Target="https://www.imdb.com/title/tt0374900/?ref_=ttls_li_tt" TargetMode="External" Id="rId3"/><Relationship Type="http://schemas.openxmlformats.org/officeDocument/2006/relationships/hyperlink" Target="https://www.youtube.com/watch?v=yw0Ip5XoXyw" TargetMode="External" Id="rId4"/><Relationship Type="http://schemas.openxmlformats.org/officeDocument/2006/relationships/hyperlink" Target="https://www.imdb.com/title/tt19723602/?ref_=tt_sims_tt_t_6" TargetMode="External" Id="rId5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W10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8" defaultColWidth="12.63" defaultRowHeight="15.75" customHeight="1"/>
  <cols>
    <col width="34.13" customWidth="1" style="128" min="1" max="1"/>
  </cols>
  <sheetData>
    <row r="1" ht="27.75" customHeight="1" s="128">
      <c r="B1" s="107" t="inlineStr">
        <is>
          <t>Średnia</t>
        </is>
      </c>
      <c r="C1" s="2" t="inlineStr">
        <is>
          <t>Wiktoria</t>
        </is>
      </c>
      <c r="D1" s="2" t="inlineStr">
        <is>
          <t>Weronika</t>
        </is>
      </c>
      <c r="E1" s="2" t="inlineStr">
        <is>
          <t>Mati</t>
        </is>
      </c>
      <c r="F1" s="2" t="inlineStr">
        <is>
          <t>Kacper</t>
        </is>
      </c>
      <c r="G1" s="2" t="inlineStr">
        <is>
          <t>Yuri</t>
        </is>
      </c>
      <c r="H1" s="2" t="inlineStr">
        <is>
          <t>Cheetos</t>
        </is>
      </c>
      <c r="I1" s="2" t="inlineStr">
        <is>
          <t>Bartosz</t>
        </is>
      </c>
      <c r="J1" s="2" t="inlineStr">
        <is>
          <t>Alicja</t>
        </is>
      </c>
      <c r="K1" s="2" t="inlineStr">
        <is>
          <t>Xero</t>
        </is>
      </c>
      <c r="L1" s="2" t="inlineStr">
        <is>
          <t>Daga</t>
        </is>
      </c>
      <c r="M1" s="2" t="inlineStr">
        <is>
          <t>Mikołaj</t>
        </is>
      </c>
      <c r="N1" s="2" t="inlineStr">
        <is>
          <t>Olga</t>
        </is>
      </c>
      <c r="O1" s="3" t="inlineStr">
        <is>
          <t>Kaja</t>
        </is>
      </c>
      <c r="P1" s="3" t="inlineStr">
        <is>
          <t>Wiku</t>
        </is>
      </c>
      <c r="Q1" s="3" t="inlineStr">
        <is>
          <t>Marcin</t>
        </is>
      </c>
      <c r="R1" s="3" t="inlineStr">
        <is>
          <t>Ania</t>
        </is>
      </c>
      <c r="S1" s="3" t="inlineStr">
        <is>
          <t>Mateo</t>
        </is>
      </c>
      <c r="T1" s="3" t="inlineStr">
        <is>
          <t>Christofer</t>
        </is>
      </c>
      <c r="U1" s="131" t="inlineStr">
        <is>
          <t>Alexandra</t>
        </is>
      </c>
      <c r="V1" s="131" t="inlineStr">
        <is>
          <t>Kinga</t>
        </is>
      </c>
      <c r="W1" s="131" t="inlineStr">
        <is>
          <t>Małgosia</t>
        </is>
      </c>
    </row>
    <row r="2">
      <c r="B2" s="14" t="n">
        <v>6.2</v>
      </c>
      <c r="C2" s="14">
        <f>ROUND(AVERAGE(R$4:R$100),2)</f>
        <v/>
      </c>
      <c r="D2" s="14">
        <f>ROUND(AVERAGE(L$4:L$100),2)</f>
        <v/>
      </c>
      <c r="E2" s="14">
        <f>ROUND(AVERAGE(I$4:I$100),2)</f>
        <v/>
      </c>
      <c r="F2" s="14">
        <f>ROUND(AVERAGE(Q$4:Q$100),2)</f>
        <v/>
      </c>
      <c r="G2" s="14">
        <f>ROUND(AVERAGE(S$4:S$100),2)</f>
        <v/>
      </c>
      <c r="H2" s="14">
        <f>ROUND(AVERAGE(D$4:D$100),2)</f>
        <v/>
      </c>
      <c r="I2" s="14">
        <f>ROUND(AVERAGE(M$4:M$100),2)</f>
        <v/>
      </c>
      <c r="J2" s="14">
        <f>ROUND(AVERAGE(K$4:K$100),2)</f>
        <v/>
      </c>
      <c r="K2" s="14">
        <f>ROUND(AVERAGE(J$4:J$100),2)</f>
        <v/>
      </c>
      <c r="L2" s="14">
        <f>ROUND(AVERAGE(N$4:N$100),2)</f>
        <v/>
      </c>
      <c r="M2" s="14">
        <f>ROUND(AVERAGE(E$4:E$100),2)</f>
        <v/>
      </c>
      <c r="N2" s="14">
        <f>ROUND(AVERAGE(H$4:H$100),2)</f>
        <v/>
      </c>
      <c r="O2" s="14">
        <f>ROUND(AVERAGE(G$4:G$100),2)</f>
        <v/>
      </c>
      <c r="P2" s="14">
        <f>ROUND(AVERAGE(T$4:T$100),2)</f>
        <v/>
      </c>
      <c r="Q2" s="14">
        <f>ROUND(AVERAGE(C$4:C$100),2)</f>
        <v/>
      </c>
      <c r="R2" s="14">
        <f>ROUND(AVERAGE(F$4:F$100),2)</f>
        <v/>
      </c>
      <c r="S2" s="14">
        <f>ROUND(AVERAGE(P$4:P$100),2)</f>
        <v/>
      </c>
      <c r="T2" s="14">
        <f>ROUND(AVERAGE(O$4:O$100),2)</f>
        <v/>
      </c>
    </row>
    <row r="3">
      <c r="A3" s="33" t="inlineStr">
        <is>
          <t>Ilość obejrzanych filmów</t>
        </is>
      </c>
      <c r="B3" s="107" t="n">
        <v>12</v>
      </c>
      <c r="C3" s="107">
        <f>COUNT(H$4:H$999)</f>
        <v/>
      </c>
      <c r="D3" s="107">
        <f>COUNT(N$4:N$999)</f>
        <v/>
      </c>
      <c r="E3" s="107">
        <f>COUNT(M$4:M$999)</f>
        <v/>
      </c>
      <c r="F3" s="107">
        <f>COUNT(D$4:D$999)</f>
        <v/>
      </c>
      <c r="G3" s="107">
        <f>COUNT(R$4:R$999)</f>
        <v/>
      </c>
      <c r="H3" s="107">
        <f>COUNT(G$4:G$999)</f>
        <v/>
      </c>
      <c r="I3" s="107">
        <f>COUNT(E$4:E$999)</f>
        <v/>
      </c>
      <c r="J3" s="107">
        <f>COUNT(K$4:K$999)</f>
        <v/>
      </c>
      <c r="K3" s="107">
        <f>COUNT(Q$4:Q$999)</f>
        <v/>
      </c>
      <c r="L3" s="107">
        <f>COUNT(I$4:I$999)</f>
        <v/>
      </c>
      <c r="M3" s="107">
        <f>COUNT(J$4:J$999)</f>
        <v/>
      </c>
      <c r="N3" s="107">
        <f>COUNT(L$4:L$999)</f>
        <v/>
      </c>
      <c r="O3" s="107">
        <f>COUNT(C$4:C$999)</f>
        <v/>
      </c>
      <c r="P3" s="107">
        <f>COUNT(S$4:S$999)</f>
        <v/>
      </c>
      <c r="Q3" s="107">
        <f>COUNT(F$4:F$999)</f>
        <v/>
      </c>
      <c r="R3" s="107">
        <f>COUNT(O$4:O$999)</f>
        <v/>
      </c>
      <c r="S3" s="107">
        <f>COUNT(S$4:S$999)</f>
        <v/>
      </c>
      <c r="T3" s="107">
        <f>COUNT(P$4:P$999)</f>
        <v/>
      </c>
    </row>
    <row r="4">
      <c r="A4" s="3" t="inlineStr">
        <is>
          <t>Suda-core 😵‍💫</t>
        </is>
      </c>
      <c r="B4" s="7" t="n"/>
    </row>
    <row r="5">
      <c r="A5" s="14" t="inlineStr">
        <is>
          <t>Suicide Club</t>
        </is>
      </c>
      <c r="B5" s="14">
        <f>ROUND(AVERAGE(C5:S5),2)</f>
        <v/>
      </c>
      <c r="C5" s="14" t="n">
        <v>2</v>
      </c>
      <c r="D5" s="14" t="n"/>
      <c r="E5" s="14" t="n">
        <v>1.5</v>
      </c>
      <c r="F5" s="14" t="n">
        <v>1.5</v>
      </c>
      <c r="G5" s="14" t="n"/>
      <c r="H5" s="14" t="n"/>
      <c r="I5" s="14" t="n">
        <v>2</v>
      </c>
      <c r="J5" s="14" t="n"/>
      <c r="K5" s="14" t="n">
        <v>2</v>
      </c>
      <c r="L5" s="14" t="n"/>
      <c r="M5" s="14" t="n">
        <v>2</v>
      </c>
      <c r="N5" s="14" t="n"/>
      <c r="O5" s="14" t="n">
        <v>3</v>
      </c>
      <c r="P5" s="14" t="n"/>
      <c r="Q5" s="14" t="n"/>
      <c r="R5" s="14" t="n"/>
      <c r="S5" s="14" t="n">
        <v>7</v>
      </c>
      <c r="T5" s="107" t="n">
        <v>7</v>
      </c>
    </row>
    <row r="6">
      <c r="A6" s="14" t="inlineStr">
        <is>
          <t>Cure</t>
        </is>
      </c>
      <c r="B6" s="14">
        <f>ROUND(AVERAGE(C6:S6),2)</f>
        <v/>
      </c>
      <c r="C6" s="14" t="n">
        <v>6</v>
      </c>
      <c r="D6" s="14" t="n"/>
      <c r="E6" s="14" t="n">
        <v>6</v>
      </c>
      <c r="F6" s="14" t="n">
        <v>5.5</v>
      </c>
      <c r="G6" s="14" t="n"/>
      <c r="H6" s="14" t="n"/>
      <c r="I6" s="14" t="n">
        <v>7</v>
      </c>
      <c r="J6" s="14" t="n"/>
      <c r="K6" s="14" t="n">
        <v>6</v>
      </c>
      <c r="L6" s="14" t="n"/>
      <c r="M6" s="14" t="n">
        <v>7</v>
      </c>
      <c r="N6" s="14" t="n">
        <v>6</v>
      </c>
      <c r="O6" s="14" t="n">
        <v>6</v>
      </c>
      <c r="P6" s="14" t="n"/>
      <c r="Q6" s="14" t="n"/>
      <c r="R6" s="14" t="n"/>
      <c r="S6" s="14" t="n">
        <v>8</v>
      </c>
      <c r="T6" s="107" t="n">
        <v>8</v>
      </c>
    </row>
    <row r="7">
      <c r="A7" s="3" t="inlineStr">
        <is>
          <t>Wkurwiona baba 🙎</t>
        </is>
      </c>
      <c r="B7" s="3" t="n"/>
    </row>
    <row r="8">
      <c r="A8" s="14" t="inlineStr">
        <is>
          <t>I, Tonya</t>
        </is>
      </c>
      <c r="B8" s="14">
        <f>ROUND(AVERAGE(C8:S8),2)</f>
        <v/>
      </c>
      <c r="C8" s="14" t="n">
        <v>9</v>
      </c>
      <c r="D8" s="14" t="n"/>
      <c r="E8" s="14" t="n">
        <v>9</v>
      </c>
      <c r="F8" s="14" t="n">
        <v>8</v>
      </c>
      <c r="G8" s="14" t="n"/>
      <c r="H8" s="14" t="n"/>
      <c r="I8" s="14" t="n">
        <v>8</v>
      </c>
      <c r="J8" s="14" t="n"/>
      <c r="K8" s="14" t="n">
        <v>9</v>
      </c>
      <c r="L8" s="14" t="n"/>
      <c r="M8" s="14" t="n">
        <v>6.5</v>
      </c>
      <c r="N8" s="14" t="n">
        <v>9</v>
      </c>
      <c r="O8" s="14" t="n">
        <v>8</v>
      </c>
      <c r="P8" s="14" t="n"/>
      <c r="Q8" s="14" t="n"/>
      <c r="R8" s="14" t="n"/>
      <c r="S8" s="14" t="n">
        <v>7</v>
      </c>
    </row>
    <row r="9">
      <c r="A9" s="14" t="inlineStr">
        <is>
          <t>Promising Young Woman</t>
        </is>
      </c>
      <c r="B9" s="14">
        <f>ROUND(AVERAGE(C9:S9),2)</f>
        <v/>
      </c>
      <c r="C9" s="14" t="n">
        <v>7.5</v>
      </c>
      <c r="D9" s="14" t="n">
        <v>8</v>
      </c>
      <c r="E9" s="14" t="n">
        <v>7.5</v>
      </c>
      <c r="F9" s="14" t="n">
        <v>9</v>
      </c>
      <c r="G9" s="14" t="n"/>
      <c r="H9" s="14" t="n"/>
      <c r="I9" s="14" t="n">
        <v>5</v>
      </c>
      <c r="J9" s="14" t="n"/>
      <c r="K9" s="14" t="n">
        <v>4</v>
      </c>
      <c r="L9" s="14" t="n"/>
      <c r="M9" s="14" t="n">
        <v>4.5</v>
      </c>
      <c r="N9" s="14" t="n">
        <v>7</v>
      </c>
      <c r="O9" s="14" t="n">
        <v>9</v>
      </c>
      <c r="P9" s="14" t="n"/>
      <c r="Q9" s="14" t="n"/>
      <c r="R9" s="14" t="n"/>
      <c r="S9" s="14" t="n">
        <v>5</v>
      </c>
    </row>
    <row r="10">
      <c r="A10" s="3" t="inlineStr">
        <is>
          <t>Baba przebrana za chłopa 🥷</t>
        </is>
      </c>
      <c r="B10" s="3" t="n"/>
    </row>
    <row r="11">
      <c r="A11" s="14" t="inlineStr">
        <is>
          <t>Dwanaście Okrążeń</t>
        </is>
      </c>
      <c r="B11" s="14">
        <f>ROUND(AVERAGE(C11:S11),2)</f>
        <v/>
      </c>
      <c r="C11" s="14" t="n"/>
      <c r="D11" s="14" t="n"/>
      <c r="E11" s="14" t="n">
        <v>8</v>
      </c>
      <c r="F11" s="14" t="n">
        <v>5</v>
      </c>
      <c r="G11" s="14" t="n"/>
      <c r="H11" s="14" t="n"/>
      <c r="I11" s="14" t="n"/>
      <c r="J11" s="14" t="n">
        <v>6</v>
      </c>
      <c r="K11" s="14" t="n">
        <v>5</v>
      </c>
      <c r="L11" s="14" t="n"/>
      <c r="M11" s="14" t="n">
        <v>6</v>
      </c>
      <c r="N11" s="14" t="n">
        <v>4</v>
      </c>
      <c r="O11" s="14" t="n">
        <v>7</v>
      </c>
      <c r="P11" s="14" t="n"/>
      <c r="Q11" s="14" t="n"/>
      <c r="R11" s="14" t="n"/>
      <c r="S11" s="14" t="n">
        <v>4</v>
      </c>
      <c r="T11" s="107" t="n">
        <v>6.5</v>
      </c>
    </row>
    <row r="12">
      <c r="A12" s="14" t="inlineStr">
        <is>
          <t>She's the man</t>
        </is>
      </c>
      <c r="B12" s="14">
        <f>ROUND(AVERAGE(C12:S12),2)</f>
        <v/>
      </c>
      <c r="C12" s="14" t="n"/>
      <c r="D12" s="14" t="n"/>
      <c r="E12" s="14" t="n">
        <v>8.5</v>
      </c>
      <c r="F12" s="14" t="n">
        <v>6.5</v>
      </c>
      <c r="G12" s="14" t="n"/>
      <c r="H12" s="14" t="n"/>
      <c r="I12" s="14" t="n"/>
      <c r="J12" s="14" t="n">
        <v>7</v>
      </c>
      <c r="K12" s="14" t="n">
        <v>7</v>
      </c>
      <c r="L12" s="14" t="n"/>
      <c r="M12" s="14" t="n">
        <v>6</v>
      </c>
      <c r="N12" s="14" t="n">
        <v>8</v>
      </c>
      <c r="O12" s="14" t="n">
        <v>5</v>
      </c>
      <c r="P12" s="14" t="n"/>
      <c r="Q12" s="14" t="n"/>
      <c r="R12" s="14" t="n"/>
      <c r="S12" s="14" t="n">
        <v>5</v>
      </c>
      <c r="T12" s="107" t="n">
        <v>4</v>
      </c>
    </row>
    <row r="13">
      <c r="A13" s="3" t="inlineStr">
        <is>
          <t>Dla koniar 🐎</t>
        </is>
      </c>
      <c r="B13" s="3" t="n"/>
      <c r="C13" s="107" t="n"/>
      <c r="D13" s="107" t="n"/>
      <c r="E13" s="107" t="n"/>
      <c r="F13" s="107" t="n"/>
      <c r="G13" s="107" t="n"/>
      <c r="H13" s="107" t="n"/>
      <c r="I13" s="107" t="n"/>
      <c r="J13" s="107" t="n"/>
      <c r="K13" s="107" t="n"/>
      <c r="L13" s="107" t="n"/>
      <c r="M13" s="107" t="n"/>
      <c r="N13" s="107" t="n"/>
      <c r="O13" s="107" t="n"/>
    </row>
    <row r="14">
      <c r="A14" s="14" t="inlineStr">
        <is>
          <t>Mustang z Dzikiej Doliny</t>
        </is>
      </c>
      <c r="B14" s="14">
        <f>ROUND(AVERAGE(C14:S14),2)</f>
        <v/>
      </c>
      <c r="C14" s="14" t="n"/>
      <c r="D14" s="14" t="n"/>
      <c r="E14" s="14" t="n">
        <v>7</v>
      </c>
      <c r="F14" s="14" t="n">
        <v>6</v>
      </c>
      <c r="G14" s="14" t="n"/>
      <c r="H14" s="14" t="n">
        <v>7</v>
      </c>
      <c r="I14" s="14" t="n">
        <v>7</v>
      </c>
      <c r="J14" s="14" t="n"/>
      <c r="K14" s="14" t="n">
        <v>6</v>
      </c>
      <c r="L14" s="14" t="n"/>
      <c r="M14" s="14" t="n"/>
      <c r="N14" s="14" t="n"/>
      <c r="O14" s="14" t="n">
        <v>9</v>
      </c>
      <c r="P14" s="14" t="n"/>
      <c r="Q14" s="14" t="n"/>
      <c r="R14" s="14" t="n"/>
      <c r="S14" s="14" t="n">
        <v>6.5</v>
      </c>
      <c r="T14" s="107" t="n">
        <v>5.5</v>
      </c>
    </row>
    <row r="15">
      <c r="A15" s="14" t="inlineStr">
        <is>
          <t>Wicher</t>
        </is>
      </c>
      <c r="B15" s="14">
        <f>ROUND(AVERAGE(C15:S15),2)</f>
        <v/>
      </c>
      <c r="C15" s="14" t="n"/>
      <c r="D15" s="14" t="n"/>
      <c r="E15" s="14" t="n">
        <v>6</v>
      </c>
      <c r="F15" s="14" t="n">
        <v>4</v>
      </c>
      <c r="G15" s="14" t="n"/>
      <c r="H15" s="14" t="n">
        <v>5</v>
      </c>
      <c r="I15" s="14" t="n">
        <v>5</v>
      </c>
      <c r="J15" s="14" t="n"/>
      <c r="K15" s="14" t="n">
        <v>6</v>
      </c>
      <c r="L15" s="14" t="n"/>
      <c r="M15" s="14" t="n"/>
      <c r="N15" s="14" t="n">
        <v>6</v>
      </c>
      <c r="O15" s="14" t="n">
        <v>6</v>
      </c>
      <c r="P15" s="14" t="n"/>
      <c r="Q15" s="14" t="n"/>
      <c r="R15" s="14" t="n"/>
      <c r="S15" s="14" t="n">
        <v>4.5</v>
      </c>
      <c r="T15" s="107" t="n">
        <v>8</v>
      </c>
    </row>
    <row r="16">
      <c r="A16" s="3" t="inlineStr">
        <is>
          <t>Sigma grindset  🏋️</t>
        </is>
      </c>
      <c r="B16" s="3" t="n"/>
    </row>
    <row r="17">
      <c r="A17" s="14" t="inlineStr">
        <is>
          <t>Pain &amp; Gain</t>
        </is>
      </c>
      <c r="B17" s="14">
        <f>ROUND(AVERAGE(C17:S17),2)</f>
        <v/>
      </c>
      <c r="C17" s="14" t="n"/>
      <c r="D17" s="14" t="n"/>
      <c r="E17" s="14" t="n"/>
      <c r="F17" s="14" t="n">
        <v>4.5</v>
      </c>
      <c r="G17" s="14" t="n"/>
      <c r="H17" s="14" t="n">
        <v>7</v>
      </c>
      <c r="I17" s="14" t="n"/>
      <c r="J17" s="14" t="n">
        <v>8</v>
      </c>
      <c r="K17" s="14" t="n">
        <v>9</v>
      </c>
      <c r="L17" s="14" t="n"/>
      <c r="M17" s="14" t="n">
        <v>8</v>
      </c>
      <c r="N17" s="14" t="n">
        <v>9.5</v>
      </c>
      <c r="O17" s="14" t="n"/>
      <c r="P17" s="14" t="n"/>
      <c r="Q17" s="14" t="n"/>
      <c r="R17" s="14" t="n"/>
      <c r="S17" s="14" t="n">
        <v>10</v>
      </c>
      <c r="T17" s="107" t="n">
        <v>7.5</v>
      </c>
    </row>
    <row r="18">
      <c r="A18" s="14" t="inlineStr">
        <is>
          <t>Taxi Driver</t>
        </is>
      </c>
      <c r="B18" s="14">
        <f>ROUND(AVERAGE(C18:S18),2)</f>
        <v/>
      </c>
      <c r="C18" s="14" t="n"/>
      <c r="D18" s="14" t="n"/>
      <c r="E18" s="14" t="n"/>
      <c r="F18" s="14" t="n">
        <v>3.5</v>
      </c>
      <c r="G18" s="14" t="n"/>
      <c r="H18" s="14" t="n">
        <v>9</v>
      </c>
      <c r="I18" s="14" t="n"/>
      <c r="J18" s="14" t="n">
        <v>9</v>
      </c>
      <c r="K18" s="14" t="n">
        <v>7</v>
      </c>
      <c r="L18" s="14" t="n"/>
      <c r="M18" s="14" t="n">
        <v>8.5</v>
      </c>
      <c r="N18" s="14" t="n">
        <v>7</v>
      </c>
      <c r="O18" s="14" t="n">
        <v>5</v>
      </c>
      <c r="P18" s="14" t="n"/>
      <c r="Q18" s="14" t="n"/>
      <c r="R18" s="14" t="n"/>
      <c r="S18" s="14" t="n">
        <v>8</v>
      </c>
      <c r="T18" s="107" t="inlineStr">
        <is>
          <t xml:space="preserve"> </t>
        </is>
      </c>
    </row>
    <row r="19">
      <c r="A19" s="3" t="inlineStr">
        <is>
          <t>Cringe Disney 💀</t>
        </is>
      </c>
      <c r="B19" s="3" t="n"/>
    </row>
    <row r="20">
      <c r="A20" s="14" t="inlineStr">
        <is>
          <t>Radio Rebel</t>
        </is>
      </c>
      <c r="B20" s="14">
        <f>ROUND(AVERAGE(C20:S20),2)</f>
        <v/>
      </c>
      <c r="C20" s="14" t="n"/>
      <c r="D20" s="14" t="n"/>
      <c r="E20" s="14" t="n">
        <v>6</v>
      </c>
      <c r="F20" s="14" t="n">
        <v>5.5</v>
      </c>
      <c r="G20" s="14" t="n">
        <v>5.5</v>
      </c>
      <c r="H20" s="14" t="n">
        <v>5</v>
      </c>
      <c r="I20" s="14" t="n">
        <v>4</v>
      </c>
      <c r="J20" s="14" t="n"/>
      <c r="K20" s="14" t="n">
        <v>4</v>
      </c>
      <c r="L20" s="14" t="n"/>
      <c r="M20" s="14" t="n">
        <v>5</v>
      </c>
      <c r="N20" s="14" t="n"/>
      <c r="O20" s="14" t="n">
        <v>6.5</v>
      </c>
      <c r="P20" s="14" t="n"/>
      <c r="Q20" s="14" t="n"/>
      <c r="R20" s="14" t="n"/>
      <c r="S20" s="14" t="n">
        <v>2</v>
      </c>
      <c r="T20" s="107" t="n">
        <v>2</v>
      </c>
    </row>
    <row r="21">
      <c r="A21" s="14" t="inlineStr">
        <is>
          <t>Camp Rock</t>
        </is>
      </c>
      <c r="B21" s="14">
        <f>ROUND(AVERAGE(C21:S21),2)</f>
        <v/>
      </c>
      <c r="C21" s="14" t="n"/>
      <c r="D21" s="14" t="n"/>
      <c r="E21" s="14" t="n">
        <v>6.5</v>
      </c>
      <c r="F21" s="14" t="n">
        <v>5</v>
      </c>
      <c r="G21" s="14" t="n">
        <v>7</v>
      </c>
      <c r="H21" s="14" t="n">
        <v>4</v>
      </c>
      <c r="I21" s="14" t="n">
        <v>6</v>
      </c>
      <c r="J21" s="14" t="n"/>
      <c r="K21" s="14" t="n">
        <v>6</v>
      </c>
      <c r="L21" s="14" t="n"/>
      <c r="M21" s="14" t="n">
        <v>5</v>
      </c>
      <c r="N21" s="14" t="n"/>
      <c r="O21" s="14" t="n">
        <v>4.5</v>
      </c>
      <c r="P21" s="14" t="n"/>
      <c r="Q21" s="14" t="n"/>
      <c r="R21" s="14" t="n"/>
      <c r="S21" s="14" t="n">
        <v>3</v>
      </c>
      <c r="T21" s="107" t="n">
        <v>7.5</v>
      </c>
    </row>
    <row r="22">
      <c r="A22" s="3" t="inlineStr">
        <is>
          <t>Gówniane Anime 💩</t>
        </is>
      </c>
      <c r="B22" s="3" t="n"/>
      <c r="T22" s="11" t="n"/>
      <c r="U22" s="11" t="n"/>
      <c r="V22" s="11" t="n"/>
      <c r="W22" s="11" t="n"/>
    </row>
    <row r="23">
      <c r="A23" s="14" t="inlineStr">
        <is>
          <t>Mars of Destruction</t>
        </is>
      </c>
      <c r="B23" s="14">
        <f>ROUND(AVERAGE(C23:S23),2)</f>
        <v/>
      </c>
      <c r="C23" s="14" t="n"/>
      <c r="D23" s="14" t="n"/>
      <c r="E23" s="14" t="n">
        <v>2</v>
      </c>
      <c r="F23" s="14" t="n"/>
      <c r="G23" s="14" t="n"/>
      <c r="H23" s="14" t="n"/>
      <c r="I23" s="13" t="n"/>
      <c r="J23" s="14" t="n"/>
      <c r="K23" s="14" t="n">
        <v>7</v>
      </c>
      <c r="L23" s="14" t="n"/>
      <c r="M23" s="13" t="n"/>
      <c r="N23" s="13" t="n"/>
      <c r="O23" s="14" t="n"/>
      <c r="P23" s="14" t="n"/>
      <c r="Q23" s="14" t="n"/>
      <c r="R23" s="14" t="n"/>
      <c r="S23" s="14" t="n">
        <v>3</v>
      </c>
      <c r="T23" s="11" t="n">
        <v>2</v>
      </c>
      <c r="U23" s="11" t="n"/>
      <c r="V23" s="11" t="n"/>
      <c r="W23" s="11" t="n"/>
    </row>
    <row r="24">
      <c r="A24" s="14" t="inlineStr">
        <is>
          <t>Chargeman Ken</t>
        </is>
      </c>
      <c r="B24" s="14">
        <f>ROUND(AVERAGE(C24:S24),2)</f>
        <v/>
      </c>
      <c r="C24" s="14" t="n"/>
      <c r="D24" s="14" t="n"/>
      <c r="E24" s="14" t="n">
        <v>1</v>
      </c>
      <c r="F24" s="14" t="n"/>
      <c r="G24" s="14" t="n"/>
      <c r="H24" s="14" t="n"/>
      <c r="I24" s="13" t="n"/>
      <c r="J24" s="14" t="n"/>
      <c r="K24" s="14" t="n">
        <v>3</v>
      </c>
      <c r="L24" s="14" t="n"/>
      <c r="M24" s="13" t="n"/>
      <c r="N24" s="13" t="n"/>
      <c r="O24" s="14" t="n"/>
      <c r="P24" s="14" t="n"/>
      <c r="Q24" s="14" t="n"/>
      <c r="R24" s="14" t="n"/>
      <c r="S24" s="14" t="n">
        <v>1</v>
      </c>
      <c r="T24" s="11" t="n">
        <v>4</v>
      </c>
      <c r="U24" s="11" t="n"/>
      <c r="V24" s="11" t="n"/>
      <c r="W24" s="11" t="n"/>
    </row>
    <row r="25">
      <c r="A25" s="14" t="inlineStr">
        <is>
          <t>Big Order</t>
        </is>
      </c>
      <c r="B25" s="14">
        <f>ROUND(AVERAGE(C25:S25),2)</f>
        <v/>
      </c>
      <c r="C25" s="14" t="n"/>
      <c r="D25" s="14" t="n"/>
      <c r="E25" s="14" t="n"/>
      <c r="F25" s="14" t="n"/>
      <c r="G25" s="14" t="n"/>
      <c r="H25" s="14" t="n"/>
      <c r="I25" s="13" t="n"/>
      <c r="J25" s="14" t="n"/>
      <c r="K25" s="14" t="n">
        <v>10</v>
      </c>
      <c r="L25" s="14" t="n"/>
      <c r="M25" s="12" t="n"/>
      <c r="N25" s="13" t="n"/>
      <c r="O25" s="14" t="n"/>
      <c r="P25" s="14" t="n"/>
      <c r="Q25" s="14" t="n"/>
      <c r="R25" s="14" t="n"/>
      <c r="S25" s="14" t="n">
        <v>5</v>
      </c>
      <c r="T25" s="11" t="n">
        <v>5</v>
      </c>
      <c r="U25" s="11" t="n"/>
      <c r="V25" s="11" t="n"/>
      <c r="W25" s="11" t="n"/>
    </row>
    <row r="26">
      <c r="A26" s="14" t="inlineStr">
        <is>
          <t>Grazye's Wing</t>
        </is>
      </c>
      <c r="B26" s="14">
        <f>ROUND(AVERAGE(C26:S26),2)</f>
        <v/>
      </c>
      <c r="C26" s="14" t="n"/>
      <c r="D26" s="14" t="n"/>
      <c r="E26" s="14" t="n">
        <v>1</v>
      </c>
      <c r="F26" s="14" t="n"/>
      <c r="G26" s="14" t="n"/>
      <c r="H26" s="14" t="n"/>
      <c r="I26" s="13" t="n"/>
      <c r="J26" s="14" t="n"/>
      <c r="K26" s="14" t="n">
        <v>6</v>
      </c>
      <c r="L26" s="14" t="n"/>
      <c r="M26" s="13" t="n"/>
      <c r="N26" s="13" t="n"/>
      <c r="O26" s="14" t="n"/>
      <c r="P26" s="14" t="n"/>
      <c r="Q26" s="14" t="n"/>
      <c r="R26" s="14" t="n"/>
      <c r="S26" s="14" t="n">
        <v>1</v>
      </c>
      <c r="T26" s="11" t="n">
        <v>1</v>
      </c>
      <c r="U26" s="11" t="n"/>
      <c r="V26" s="11" t="n"/>
      <c r="W26" s="11" t="n"/>
    </row>
    <row r="27">
      <c r="A27" s="14" t="inlineStr">
        <is>
          <t>Twinkle Nora Rock Me v2</t>
        </is>
      </c>
      <c r="B27" s="14">
        <f>ROUND(AVERAGE(C27:S27),2)</f>
        <v/>
      </c>
      <c r="C27" s="14" t="n"/>
      <c r="D27" s="14" t="n"/>
      <c r="E27" s="14" t="n"/>
      <c r="F27" s="14" t="n"/>
      <c r="G27" s="14" t="n"/>
      <c r="H27" s="14" t="n"/>
      <c r="I27" s="13" t="n"/>
      <c r="J27" s="14" t="n"/>
      <c r="K27" s="14" t="n">
        <v>3</v>
      </c>
      <c r="L27" s="14" t="n"/>
      <c r="M27" s="14" t="n"/>
      <c r="N27" s="13" t="n"/>
      <c r="O27" s="14" t="n"/>
      <c r="P27" s="14" t="n"/>
      <c r="Q27" s="14" t="n"/>
      <c r="R27" s="14" t="n"/>
      <c r="S27" s="14" t="n">
        <v>1</v>
      </c>
      <c r="T27" s="11" t="n">
        <v>2</v>
      </c>
      <c r="U27" s="11" t="n"/>
      <c r="V27" s="11" t="n"/>
      <c r="W27" s="11" t="n"/>
    </row>
    <row r="28">
      <c r="A28" s="14" t="inlineStr">
        <is>
          <t>Cipher THE VIDEO</t>
        </is>
      </c>
      <c r="B28" s="14">
        <f>ROUND(AVERAGE(C28:S28),2)</f>
        <v/>
      </c>
      <c r="C28" s="14" t="n"/>
      <c r="D28" s="13" t="n"/>
      <c r="E28" s="14" t="n"/>
      <c r="F28" s="14" t="n"/>
      <c r="G28" s="14" t="n"/>
      <c r="H28" s="14" t="n"/>
      <c r="I28" s="13" t="n"/>
      <c r="J28" s="14" t="n"/>
      <c r="K28" s="14" t="n">
        <v>1</v>
      </c>
      <c r="L28" s="14" t="n"/>
      <c r="M28" s="14" t="n"/>
      <c r="N28" s="13" t="n"/>
      <c r="O28" s="14" t="n"/>
      <c r="P28" s="14" t="n"/>
      <c r="Q28" s="14" t="n"/>
      <c r="R28" s="14" t="n"/>
      <c r="S28" s="14" t="n">
        <v>2</v>
      </c>
      <c r="T28" s="107" t="n">
        <v>1</v>
      </c>
    </row>
    <row r="29">
      <c r="A29" s="3" t="inlineStr">
        <is>
          <t>Planszówkowe 🧩</t>
        </is>
      </c>
      <c r="B29" s="3" t="n"/>
      <c r="Q29" s="11" t="n"/>
      <c r="R29" s="11" t="n"/>
      <c r="S29" s="11" t="n"/>
    </row>
    <row r="30">
      <c r="A30" s="14" t="inlineStr">
        <is>
          <t>The Game Maker</t>
        </is>
      </c>
      <c r="B30" s="14">
        <f>ROUND(AVERAGE(C30:S30),2)</f>
        <v/>
      </c>
      <c r="C30" s="14" t="n"/>
      <c r="D30" s="14" t="n"/>
      <c r="E30" s="14" t="n">
        <v>5</v>
      </c>
      <c r="F30" s="14" t="n">
        <v>4</v>
      </c>
      <c r="G30" s="14" t="n"/>
      <c r="H30" s="14" t="n"/>
      <c r="I30" s="13" t="n">
        <v>4</v>
      </c>
      <c r="J30" s="14" t="n"/>
      <c r="K30" s="14" t="n">
        <v>4</v>
      </c>
      <c r="L30" s="14" t="n"/>
      <c r="M30" s="14" t="n">
        <v>7</v>
      </c>
      <c r="N30" s="13" t="n"/>
      <c r="O30" s="14" t="n">
        <v>6</v>
      </c>
      <c r="P30" s="14" t="n"/>
      <c r="Q30" s="14" t="n"/>
      <c r="R30" s="14" t="n"/>
      <c r="S30" s="14" t="n">
        <v>3</v>
      </c>
    </row>
    <row r="31">
      <c r="A31" s="14" t="inlineStr">
        <is>
          <t>Searching for Bobby Fischer</t>
        </is>
      </c>
      <c r="B31" s="14">
        <f>ROUND(AVERAGE(C31:S31),2)</f>
        <v/>
      </c>
      <c r="C31" s="14" t="n"/>
      <c r="D31" s="13" t="n"/>
      <c r="E31" s="14" t="n">
        <v>9</v>
      </c>
      <c r="F31" s="14" t="n">
        <v>7</v>
      </c>
      <c r="G31" s="14" t="n"/>
      <c r="H31" s="14" t="n"/>
      <c r="I31" s="13" t="n">
        <v>7</v>
      </c>
      <c r="J31" s="14" t="n"/>
      <c r="K31" s="14" t="n">
        <v>8</v>
      </c>
      <c r="L31" s="14" t="n"/>
      <c r="M31" s="14" t="n">
        <v>8</v>
      </c>
      <c r="N31" s="13" t="n"/>
      <c r="O31" s="14" t="n">
        <v>5</v>
      </c>
      <c r="P31" s="14" t="n"/>
      <c r="Q31" s="14" t="n"/>
      <c r="R31" s="14" t="n"/>
      <c r="S31" s="14" t="n">
        <v>7</v>
      </c>
    </row>
    <row r="32">
      <c r="A32" s="3" t="inlineStr">
        <is>
          <t>Tańczące zwierzęta 🦚</t>
        </is>
      </c>
      <c r="B32" s="3" t="n"/>
    </row>
    <row r="33">
      <c r="A33" s="14" t="inlineStr">
        <is>
          <t>Dancing with birds</t>
        </is>
      </c>
      <c r="B33" s="14">
        <f>ROUND(AVERAGE(C33:S33),2)</f>
        <v/>
      </c>
      <c r="C33" s="14" t="n"/>
      <c r="D33" s="14" t="n"/>
      <c r="E33" s="14" t="n">
        <v>7.5</v>
      </c>
      <c r="F33" s="14" t="n">
        <v>8</v>
      </c>
      <c r="G33" s="14" t="n"/>
      <c r="H33" s="14" t="n"/>
      <c r="I33" s="14" t="n">
        <v>8</v>
      </c>
      <c r="J33" s="14" t="n">
        <v>8</v>
      </c>
      <c r="K33" s="14" t="n">
        <v>8</v>
      </c>
      <c r="L33" s="14" t="n"/>
      <c r="M33" s="14" t="n">
        <v>8.5</v>
      </c>
      <c r="N33" s="14" t="n">
        <v>9</v>
      </c>
      <c r="O33" s="14" t="n">
        <v>8</v>
      </c>
      <c r="P33" s="14" t="n"/>
      <c r="Q33" s="14" t="n"/>
      <c r="R33" s="14" t="n"/>
      <c r="S33" s="14" t="n">
        <v>7</v>
      </c>
      <c r="T33" s="107" t="n"/>
    </row>
    <row r="34">
      <c r="A34" s="14" t="inlineStr">
        <is>
          <t>Happy feet</t>
        </is>
      </c>
      <c r="B34" s="14">
        <f>ROUND(AVERAGE(C34:S34),2)</f>
        <v/>
      </c>
      <c r="C34" s="14" t="n"/>
      <c r="D34" s="14" t="n"/>
      <c r="E34" s="14" t="n">
        <v>7</v>
      </c>
      <c r="F34" s="14" t="n">
        <v>7</v>
      </c>
      <c r="G34" s="14" t="n"/>
      <c r="H34" s="14" t="n"/>
      <c r="I34" s="14" t="n">
        <v>5.5</v>
      </c>
      <c r="J34" s="14" t="n">
        <v>9</v>
      </c>
      <c r="K34" s="14" t="n">
        <v>8</v>
      </c>
      <c r="L34" s="14" t="n"/>
      <c r="M34" s="14" t="n">
        <v>7.5</v>
      </c>
      <c r="N34" s="14" t="n">
        <v>9</v>
      </c>
      <c r="O34" s="14" t="n">
        <v>7</v>
      </c>
      <c r="P34" s="14" t="n"/>
      <c r="Q34" s="14" t="n"/>
      <c r="R34" s="14" t="n"/>
      <c r="S34" s="14" t="n">
        <v>4.5</v>
      </c>
      <c r="T34" s="107" t="n"/>
    </row>
    <row r="35">
      <c r="A35" s="3" t="inlineStr">
        <is>
          <t>Horrory 2024 🎃</t>
        </is>
      </c>
      <c r="B35" s="3" t="n"/>
    </row>
    <row r="36">
      <c r="A36" s="14" t="inlineStr">
        <is>
          <t>The Damned</t>
        </is>
      </c>
      <c r="B36" s="14">
        <f>ROUND(AVERAGE(C36:S36),2)</f>
        <v/>
      </c>
      <c r="C36" s="14" t="n">
        <v>5</v>
      </c>
      <c r="D36" s="14" t="n"/>
      <c r="E36" s="14" t="n">
        <v>3</v>
      </c>
      <c r="F36" s="14" t="n"/>
      <c r="G36" s="14" t="n"/>
      <c r="H36" s="14" t="n"/>
      <c r="I36" s="14" t="n">
        <v>4</v>
      </c>
      <c r="J36" s="14" t="n"/>
      <c r="K36" s="14" t="n">
        <v>5</v>
      </c>
      <c r="L36" s="14" t="n"/>
      <c r="M36" s="14" t="n">
        <v>4</v>
      </c>
      <c r="N36" s="14" t="n"/>
      <c r="O36" s="14" t="n"/>
      <c r="P36" s="14" t="n"/>
      <c r="Q36" s="14" t="n">
        <v>4</v>
      </c>
      <c r="R36" s="14" t="n"/>
      <c r="S36" s="14" t="n">
        <v>2</v>
      </c>
    </row>
    <row r="37">
      <c r="A37" s="14" t="inlineStr">
        <is>
          <t>Nosferatu 2024</t>
        </is>
      </c>
      <c r="B37" s="14">
        <f>ROUND(AVERAGE(C37:S37),2)</f>
        <v/>
      </c>
      <c r="C37" s="14" t="n">
        <v>7.5</v>
      </c>
      <c r="D37" s="14" t="n"/>
      <c r="E37" s="14" t="n">
        <v>7</v>
      </c>
      <c r="F37" s="14" t="n"/>
      <c r="G37" s="14" t="n"/>
      <c r="H37" s="14" t="n"/>
      <c r="I37" s="14" t="n">
        <v>7</v>
      </c>
      <c r="J37" s="14" t="n">
        <v>7</v>
      </c>
      <c r="K37" s="14" t="n">
        <v>7</v>
      </c>
      <c r="L37" s="14" t="n"/>
      <c r="M37" s="14" t="n">
        <v>6</v>
      </c>
      <c r="N37" s="14" t="n"/>
      <c r="O37" s="14" t="n">
        <v>5</v>
      </c>
      <c r="P37" s="14" t="n"/>
      <c r="Q37" s="14" t="n">
        <v>6.5</v>
      </c>
      <c r="R37" s="14" t="n">
        <v>6</v>
      </c>
      <c r="S37" s="14" t="n">
        <v>6</v>
      </c>
      <c r="T37" s="107" t="n"/>
    </row>
    <row r="38">
      <c r="A38" s="3" t="inlineStr">
        <is>
          <t>Dający do Myślenia</t>
        </is>
      </c>
      <c r="B38" s="3" t="n"/>
    </row>
    <row r="39">
      <c r="A39" s="14" t="inlineStr">
        <is>
          <t>Atlas Chmur</t>
        </is>
      </c>
      <c r="B39" s="14">
        <f>ROUND(AVERAGE(C39:S39),2)</f>
        <v/>
      </c>
      <c r="C39" s="14" t="n"/>
      <c r="D39" s="14" t="n">
        <v>6</v>
      </c>
      <c r="E39" s="14" t="n">
        <v>7</v>
      </c>
      <c r="F39" s="14" t="n">
        <v>10</v>
      </c>
      <c r="G39" s="14" t="n"/>
      <c r="H39" s="14" t="n"/>
      <c r="I39" s="14" t="n">
        <v>7</v>
      </c>
      <c r="J39" s="14" t="n"/>
      <c r="K39" s="14" t="n">
        <v>7</v>
      </c>
      <c r="L39" s="14" t="n"/>
      <c r="M39" s="14" t="n">
        <v>6</v>
      </c>
      <c r="N39" s="14" t="n">
        <v>7</v>
      </c>
      <c r="O39" s="14" t="n">
        <v>8</v>
      </c>
      <c r="P39" s="14" t="n"/>
      <c r="Q39" s="14" t="n">
        <v>5</v>
      </c>
      <c r="R39" s="14" t="n"/>
      <c r="S39" s="14" t="n">
        <v>5</v>
      </c>
    </row>
    <row r="40">
      <c r="A40" s="3" t="inlineStr">
        <is>
          <t>Moi mężowie :*</t>
        </is>
      </c>
      <c r="B40" s="3" t="n"/>
      <c r="C40" s="107" t="n"/>
      <c r="D40" s="107" t="n"/>
      <c r="E40" s="107" t="n"/>
      <c r="F40" s="107" t="n"/>
      <c r="G40" s="107" t="n"/>
      <c r="H40" s="107" t="n"/>
      <c r="I40" s="107" t="n"/>
      <c r="J40" s="107" t="n"/>
      <c r="K40" s="107" t="n"/>
      <c r="L40" s="107" t="n"/>
      <c r="M40" s="107" t="n"/>
      <c r="N40" s="107" t="n"/>
      <c r="O40" s="107" t="n"/>
      <c r="P40" s="107" t="n"/>
      <c r="Q40" s="107" t="n"/>
      <c r="R40" s="107" t="n"/>
      <c r="S40" s="107" t="n"/>
    </row>
    <row r="41">
      <c r="A41" s="14" t="inlineStr">
        <is>
          <t>Crimson Peak</t>
        </is>
      </c>
      <c r="B41" s="14">
        <f>ROUND(AVERAGE(C41:S41),2)</f>
        <v/>
      </c>
      <c r="C41" s="14" t="n"/>
      <c r="D41" s="14" t="n">
        <v>7</v>
      </c>
      <c r="E41" s="14" t="n">
        <v>7</v>
      </c>
      <c r="F41" s="14" t="n">
        <v>7</v>
      </c>
      <c r="G41" s="14" t="n"/>
      <c r="H41" s="14" t="n"/>
      <c r="I41" s="14" t="n"/>
      <c r="J41" s="14" t="n"/>
      <c r="K41" s="14" t="n">
        <v>6.5</v>
      </c>
      <c r="L41" s="14" t="n"/>
      <c r="M41" s="14" t="n">
        <v>7</v>
      </c>
      <c r="N41" s="14" t="n">
        <v>7</v>
      </c>
      <c r="O41" s="14" t="n">
        <v>6.5</v>
      </c>
      <c r="P41" s="14" t="n"/>
      <c r="Q41" s="14" t="n">
        <v>7</v>
      </c>
      <c r="R41" s="14" t="n"/>
      <c r="S41" s="14" t="n">
        <v>3</v>
      </c>
      <c r="T41" s="107" t="n">
        <v>5</v>
      </c>
    </row>
    <row r="42">
      <c r="A42" s="14" t="inlineStr">
        <is>
          <t>The Lost Boys</t>
        </is>
      </c>
      <c r="B42" s="14">
        <f>ROUND(AVERAGE(C42:S42),2)</f>
        <v/>
      </c>
      <c r="C42" s="14" t="n"/>
      <c r="D42" s="14" t="n">
        <v>10</v>
      </c>
      <c r="E42" s="14" t="n"/>
      <c r="F42" s="14" t="n">
        <v>6</v>
      </c>
      <c r="G42" s="14" t="n"/>
      <c r="H42" s="14" t="n"/>
      <c r="I42" s="14" t="n"/>
      <c r="J42" s="14" t="n"/>
      <c r="K42" s="14" t="n">
        <v>9</v>
      </c>
      <c r="L42" s="14" t="n"/>
      <c r="M42" s="14" t="n">
        <v>7</v>
      </c>
      <c r="N42" s="14" t="n">
        <v>8</v>
      </c>
      <c r="O42" s="14" t="n">
        <v>7</v>
      </c>
      <c r="P42" s="14" t="n"/>
      <c r="Q42" s="14" t="n">
        <v>7</v>
      </c>
      <c r="R42" s="14" t="n"/>
      <c r="S42" s="14" t="n">
        <v>7</v>
      </c>
      <c r="T42" s="107" t="n">
        <v>5</v>
      </c>
    </row>
    <row r="43">
      <c r="A43" s="3" t="inlineStr">
        <is>
          <t>Jackie Chan 👊</t>
        </is>
      </c>
      <c r="B43" s="3" t="n"/>
    </row>
    <row r="44">
      <c r="A44" s="14" t="inlineStr">
        <is>
          <t>The Drunken Master</t>
        </is>
      </c>
      <c r="B44" s="14">
        <f>ROUND(AVERAGE(C44:S44),2)</f>
        <v/>
      </c>
      <c r="C44" s="14" t="n"/>
      <c r="D44" s="14" t="n"/>
      <c r="E44" s="14" t="n">
        <v>7</v>
      </c>
      <c r="F44" s="14" t="n"/>
      <c r="G44" s="14" t="n"/>
      <c r="H44" s="14" t="n"/>
      <c r="I44" s="14" t="n">
        <v>3</v>
      </c>
      <c r="J44" s="14" t="n"/>
      <c r="K44" s="14" t="n">
        <v>2</v>
      </c>
      <c r="L44" s="14" t="n"/>
      <c r="M44" s="14" t="n">
        <v>3</v>
      </c>
      <c r="N44" s="14" t="n"/>
      <c r="O44" s="14" t="n"/>
      <c r="P44" s="14" t="n"/>
      <c r="Q44" s="14" t="n">
        <v>7</v>
      </c>
      <c r="R44" s="14" t="n"/>
      <c r="S44" s="14" t="n"/>
    </row>
    <row r="45">
      <c r="A45" s="14" t="inlineStr">
        <is>
          <t>Police Story</t>
        </is>
      </c>
      <c r="B45" s="14">
        <f>ROUND(AVERAGE(C45:S45),2)</f>
        <v/>
      </c>
      <c r="C45" s="14" t="n"/>
      <c r="D45" s="14" t="n"/>
      <c r="E45" s="14" t="n"/>
      <c r="F45" s="14" t="n"/>
      <c r="G45" s="14" t="n"/>
      <c r="H45" s="14" t="n"/>
      <c r="I45" s="14" t="n">
        <v>6</v>
      </c>
      <c r="J45" s="14" t="n"/>
      <c r="K45" s="14" t="n">
        <v>3</v>
      </c>
      <c r="L45" s="14" t="n"/>
      <c r="M45" s="14" t="n">
        <v>3</v>
      </c>
      <c r="N45" s="14" t="n"/>
      <c r="O45" s="14" t="n"/>
      <c r="P45" s="14" t="n"/>
      <c r="Q45" s="14" t="n">
        <v>5</v>
      </c>
      <c r="R45" s="14" t="n"/>
      <c r="S45" s="14" t="n"/>
    </row>
    <row r="46">
      <c r="A46" s="3" t="inlineStr">
        <is>
          <t>Surfowanie w animacji 🏄</t>
        </is>
      </c>
      <c r="B46" s="3" t="n"/>
    </row>
    <row r="47">
      <c r="A47" s="14" t="inlineStr">
        <is>
          <t>Na fali</t>
        </is>
      </c>
      <c r="B47" s="14">
        <f>ROUND(AVERAGE(C47:S47),2)</f>
        <v/>
      </c>
      <c r="C47" s="14" t="n"/>
      <c r="D47" s="14" t="n"/>
      <c r="E47" s="14" t="n"/>
      <c r="F47" s="14" t="n">
        <v>5.5</v>
      </c>
      <c r="G47" s="14" t="n"/>
      <c r="H47" s="14" t="n"/>
      <c r="I47" s="14" t="n">
        <v>7</v>
      </c>
      <c r="J47" s="14" t="n"/>
      <c r="K47" s="14" t="n">
        <v>5</v>
      </c>
      <c r="L47" s="14" t="n">
        <v>8</v>
      </c>
      <c r="M47" s="14" t="n"/>
      <c r="N47" s="14" t="n"/>
      <c r="O47" s="14" t="n">
        <v>5.5</v>
      </c>
      <c r="P47" s="14" t="n"/>
      <c r="Q47" s="14" t="n"/>
      <c r="R47" s="14" t="n"/>
      <c r="S47" s="14" t="n">
        <v>5</v>
      </c>
    </row>
    <row r="48">
      <c r="A48" s="14" t="inlineStr">
        <is>
          <t>Barbie i podwodna tajemnica</t>
        </is>
      </c>
      <c r="B48" s="14">
        <f>ROUND(AVERAGE(C48:S48),2)</f>
        <v/>
      </c>
      <c r="C48" s="14" t="n"/>
      <c r="D48" s="14" t="n"/>
      <c r="E48" s="14" t="n"/>
      <c r="F48" s="14" t="n">
        <v>4</v>
      </c>
      <c r="G48" s="14" t="n"/>
      <c r="H48" s="14" t="n"/>
      <c r="I48" s="14" t="n">
        <v>5</v>
      </c>
      <c r="J48" s="14" t="n"/>
      <c r="K48" s="14" t="n">
        <v>4</v>
      </c>
      <c r="L48" s="14" t="n">
        <v>2</v>
      </c>
      <c r="M48" s="14" t="n"/>
      <c r="N48" s="14" t="n"/>
      <c r="O48" s="14" t="n">
        <v>6.5</v>
      </c>
      <c r="P48" s="14" t="n"/>
      <c r="Q48" s="14" t="n"/>
      <c r="R48" s="14" t="n"/>
      <c r="S48" s="14" t="n">
        <v>3</v>
      </c>
    </row>
    <row r="49">
      <c r="A49" s="3" t="inlineStr">
        <is>
          <t>Kapitan Bomba 💣</t>
        </is>
      </c>
      <c r="B49" s="3" t="n"/>
    </row>
    <row r="50">
      <c r="A50" s="14" t="inlineStr">
        <is>
          <t>Kapitan Bomba i Zemsta Farona</t>
        </is>
      </c>
      <c r="B50" s="14">
        <f>ROUND(AVERAGE(C50:S50),2)</f>
        <v/>
      </c>
      <c r="C50" s="14" t="n"/>
      <c r="D50" s="14" t="n">
        <v>7</v>
      </c>
      <c r="E50" s="14" t="n"/>
      <c r="F50" s="14" t="n"/>
      <c r="G50" s="14" t="n"/>
      <c r="H50" s="14" t="n"/>
      <c r="I50" s="14" t="n"/>
      <c r="J50" s="14" t="n"/>
      <c r="K50" s="14" t="n"/>
      <c r="L50" s="14" t="n">
        <v>5</v>
      </c>
      <c r="M50" s="14" t="n">
        <v>9.5</v>
      </c>
      <c r="N50" s="14" t="n">
        <v>8</v>
      </c>
      <c r="O50" s="14" t="n"/>
      <c r="P50" s="14" t="n"/>
      <c r="Q50" s="14" t="n">
        <v>10</v>
      </c>
      <c r="R50" s="14" t="n"/>
      <c r="S50" s="14" t="n">
        <v>6</v>
      </c>
    </row>
    <row r="51">
      <c r="A51" s="14" t="inlineStr">
        <is>
          <t>Rebel Moon – Part One: A Child of Fire</t>
        </is>
      </c>
      <c r="B51" s="14">
        <f>ROUND(AVERAGE(C51:S51),2)</f>
        <v/>
      </c>
      <c r="C51" s="14" t="n"/>
      <c r="D51" s="14" t="n">
        <v>6</v>
      </c>
      <c r="E51" s="14" t="n"/>
      <c r="F51" s="14" t="n"/>
      <c r="G51" s="14" t="n"/>
      <c r="H51" s="14" t="n"/>
      <c r="I51" s="14" t="n"/>
      <c r="J51" s="14" t="n"/>
      <c r="K51" s="14" t="n">
        <v>4</v>
      </c>
      <c r="L51" s="14" t="n">
        <v>3</v>
      </c>
      <c r="M51" s="14" t="n">
        <v>6</v>
      </c>
      <c r="N51" s="14" t="n">
        <v>3</v>
      </c>
      <c r="O51" s="14" t="n"/>
      <c r="P51" s="14" t="n"/>
      <c r="Q51" s="14" t="n">
        <v>6</v>
      </c>
      <c r="R51" s="14" t="n"/>
      <c r="S51" s="14" t="n">
        <v>3</v>
      </c>
    </row>
    <row r="52">
      <c r="A52" s="3" t="inlineStr">
        <is>
          <t>List 💌</t>
        </is>
      </c>
      <c r="B52" s="3" t="n"/>
    </row>
    <row r="53">
      <c r="A53" s="14" t="inlineStr">
        <is>
          <t>Wicked little letters</t>
        </is>
      </c>
      <c r="B53" s="14">
        <f>ROUND(AVERAGE(C53:S53),2)</f>
        <v/>
      </c>
      <c r="C53" s="14" t="n"/>
      <c r="D53" s="14" t="n"/>
      <c r="E53" s="14" t="n">
        <v>8</v>
      </c>
      <c r="F53" s="14" t="n">
        <v>7.5</v>
      </c>
      <c r="G53" s="14" t="n"/>
      <c r="H53" s="14" t="n"/>
      <c r="I53" s="14" t="n">
        <v>9</v>
      </c>
      <c r="J53" s="14" t="n"/>
      <c r="K53" s="14" t="n">
        <v>7</v>
      </c>
      <c r="L53" s="14" t="n">
        <v>6</v>
      </c>
      <c r="M53" s="14" t="n">
        <v>7</v>
      </c>
      <c r="N53" s="14" t="n"/>
      <c r="O53" s="14" t="n">
        <v>8</v>
      </c>
      <c r="P53" s="14" t="n"/>
      <c r="Q53" s="14" t="n">
        <v>7</v>
      </c>
      <c r="R53" s="14" t="n"/>
      <c r="S53" s="14" t="n">
        <v>4</v>
      </c>
      <c r="T53" s="107" t="n">
        <v>2</v>
      </c>
    </row>
    <row r="54">
      <c r="A54" s="14" t="inlineStr">
        <is>
          <t>Love letter</t>
        </is>
      </c>
      <c r="B54" s="14">
        <f>ROUND(AVERAGE(C54:S54),2)</f>
        <v/>
      </c>
      <c r="C54" s="14" t="n"/>
      <c r="D54" s="14" t="n"/>
      <c r="E54" s="14" t="n">
        <v>8</v>
      </c>
      <c r="F54" s="14" t="n">
        <v>7</v>
      </c>
      <c r="G54" s="14" t="n"/>
      <c r="H54" s="14" t="n"/>
      <c r="I54" s="14" t="n">
        <v>3</v>
      </c>
      <c r="J54" s="14" t="n"/>
      <c r="K54" s="14" t="n">
        <v>4</v>
      </c>
      <c r="L54" s="14" t="n">
        <v>7</v>
      </c>
      <c r="M54" s="14" t="n">
        <v>7</v>
      </c>
      <c r="N54" s="14" t="n"/>
      <c r="O54" s="14" t="n">
        <v>5.5</v>
      </c>
      <c r="P54" s="14" t="n"/>
      <c r="Q54" s="14" t="n">
        <v>6</v>
      </c>
      <c r="R54" s="14" t="n"/>
      <c r="S54" s="14" t="n">
        <v>7</v>
      </c>
      <c r="T54" s="107" t="n">
        <v>9</v>
      </c>
    </row>
    <row r="55">
      <c r="A55" s="3" t="inlineStr">
        <is>
          <t>Parkour 🙅🏿‍♂️🤸</t>
        </is>
      </c>
      <c r="B55" s="3" t="n"/>
    </row>
    <row r="56">
      <c r="A56" s="14" t="inlineStr">
        <is>
          <t>District 13</t>
        </is>
      </c>
      <c r="B56" s="14">
        <f>ROUND(AVERAGE(C56:S56),2)</f>
        <v/>
      </c>
      <c r="C56" s="14" t="n"/>
      <c r="D56" s="14" t="n">
        <v>7</v>
      </c>
      <c r="E56" s="14" t="n">
        <v>5</v>
      </c>
      <c r="F56" s="14" t="n"/>
      <c r="G56" s="14" t="n"/>
      <c r="H56" s="14" t="n"/>
      <c r="I56" s="14" t="n">
        <v>5</v>
      </c>
      <c r="J56" s="14" t="n"/>
      <c r="K56" s="14" t="n">
        <v>8</v>
      </c>
      <c r="L56" s="14" t="n">
        <v>6</v>
      </c>
      <c r="M56" s="14" t="n">
        <v>7</v>
      </c>
      <c r="N56" s="14" t="n">
        <v>6</v>
      </c>
      <c r="O56" s="14" t="n"/>
      <c r="P56" s="14" t="n"/>
      <c r="Q56" s="14" t="n">
        <v>7</v>
      </c>
      <c r="R56" s="14" t="n"/>
      <c r="S56" s="14" t="n"/>
    </row>
    <row r="57">
      <c r="A57" s="14" t="inlineStr">
        <is>
          <t>Yamakasi</t>
        </is>
      </c>
      <c r="B57" s="14">
        <f>ROUND(AVERAGE(C57:S57),2)</f>
        <v/>
      </c>
      <c r="C57" s="14" t="n"/>
      <c r="D57" s="14" t="n">
        <v>6</v>
      </c>
      <c r="E57" s="14" t="n">
        <v>3</v>
      </c>
      <c r="F57" s="14" t="n"/>
      <c r="G57" s="14" t="n"/>
      <c r="H57" s="14" t="n"/>
      <c r="I57" s="14" t="n">
        <v>3</v>
      </c>
      <c r="J57" s="14" t="n"/>
      <c r="K57" s="14" t="n">
        <v>4.5</v>
      </c>
      <c r="L57" s="14" t="n">
        <v>6</v>
      </c>
      <c r="M57" s="14" t="n">
        <v>6</v>
      </c>
      <c r="N57" s="14" t="n">
        <v>6</v>
      </c>
      <c r="O57" s="14" t="n"/>
      <c r="P57" s="14" t="n"/>
      <c r="Q57" s="14" t="n">
        <v>6</v>
      </c>
      <c r="R57" s="14" t="n"/>
      <c r="S57" s="14" t="n">
        <v>5</v>
      </c>
    </row>
    <row r="58">
      <c r="A58" s="3" t="inlineStr">
        <is>
          <t>Mechy 🤖</t>
        </is>
      </c>
      <c r="B58" s="3" t="n"/>
    </row>
    <row r="59">
      <c r="A59" s="14" t="inlineStr">
        <is>
          <t>Pacific Rim</t>
        </is>
      </c>
      <c r="B59" s="14">
        <f>ROUND(AVERAGE(C59:S59),2)</f>
        <v/>
      </c>
      <c r="C59" s="14" t="n"/>
      <c r="D59" s="14" t="n"/>
      <c r="E59" s="14" t="n"/>
      <c r="F59" s="14" t="n">
        <v>6</v>
      </c>
      <c r="G59" s="14" t="n"/>
      <c r="H59" s="14" t="n"/>
      <c r="I59" s="14" t="n"/>
      <c r="J59" s="14" t="n"/>
      <c r="K59" s="14" t="n">
        <v>8</v>
      </c>
      <c r="L59" s="14" t="n"/>
      <c r="M59" s="14" t="n">
        <v>4</v>
      </c>
      <c r="N59" s="14" t="n">
        <v>7</v>
      </c>
      <c r="O59" s="14" t="n">
        <v>6</v>
      </c>
      <c r="P59" s="14" t="n"/>
      <c r="Q59" s="14" t="n">
        <v>7</v>
      </c>
      <c r="R59" s="14" t="n"/>
      <c r="S59" s="14" t="n">
        <v>7</v>
      </c>
    </row>
    <row r="60">
      <c r="A60" s="14" t="inlineStr">
        <is>
          <t>Hoshi no Koe</t>
        </is>
      </c>
      <c r="B60" s="14">
        <f>ROUND(AVERAGE(C60:S60),2)</f>
        <v/>
      </c>
      <c r="C60" s="14" t="n"/>
      <c r="D60" s="14" t="n"/>
      <c r="E60" s="14" t="n"/>
      <c r="F60" s="14" t="n">
        <v>5</v>
      </c>
      <c r="G60" s="14" t="n"/>
      <c r="H60" s="14" t="n"/>
      <c r="I60" s="14" t="n"/>
      <c r="J60" s="14" t="n"/>
      <c r="K60" s="14" t="n">
        <v>3</v>
      </c>
      <c r="L60" s="14" t="n"/>
      <c r="M60" s="14" t="n">
        <v>1.5</v>
      </c>
      <c r="N60" s="14" t="n">
        <v>2</v>
      </c>
      <c r="O60" s="14" t="n">
        <v>2</v>
      </c>
      <c r="P60" s="14" t="n"/>
      <c r="Q60" s="14" t="n">
        <v>5</v>
      </c>
      <c r="R60" s="14" t="n"/>
      <c r="S60" s="14" t="n">
        <v>4</v>
      </c>
    </row>
    <row r="61">
      <c r="A61" s="14" t="inlineStr">
        <is>
          <t>Macross: Do you remeber Love</t>
        </is>
      </c>
      <c r="B61" s="14">
        <f>ROUND(AVERAGE(C61:S61),2)</f>
        <v/>
      </c>
      <c r="C61" s="14" t="n"/>
      <c r="D61" s="14" t="n"/>
      <c r="E61" s="14" t="n">
        <v>6</v>
      </c>
      <c r="F61" s="14" t="n">
        <v>6</v>
      </c>
      <c r="G61" s="14" t="n"/>
      <c r="H61" s="14" t="n"/>
      <c r="I61" s="14" t="n"/>
      <c r="J61" s="14" t="n"/>
      <c r="K61" s="14" t="n">
        <v>6</v>
      </c>
      <c r="L61" s="14" t="n"/>
      <c r="M61" s="14" t="n">
        <v>7.5</v>
      </c>
      <c r="N61" s="14" t="n">
        <v>6</v>
      </c>
      <c r="O61" s="14" t="n">
        <v>4</v>
      </c>
      <c r="P61" s="14" t="n"/>
      <c r="Q61" s="14" t="n">
        <v>7</v>
      </c>
      <c r="R61" s="14" t="n"/>
      <c r="S61" s="14" t="n">
        <v>9</v>
      </c>
    </row>
    <row r="62">
      <c r="A62" s="3" t="inlineStr">
        <is>
          <t>Niezależna animacja 🖼️</t>
        </is>
      </c>
      <c r="B62" s="3" t="n"/>
    </row>
    <row r="63">
      <c r="A63" s="14" t="inlineStr">
        <is>
          <t>Daicon 3 i 4</t>
        </is>
      </c>
      <c r="B63" s="14">
        <f>ROUND(AVERAGE(C63:S63),2)</f>
        <v/>
      </c>
      <c r="C63" s="14" t="n"/>
      <c r="D63" s="14" t="n">
        <v>1</v>
      </c>
      <c r="E63" s="14" t="n"/>
      <c r="F63" s="14" t="n"/>
      <c r="G63" s="14" t="n"/>
      <c r="H63" s="14" t="n"/>
      <c r="I63" s="14" t="n"/>
      <c r="J63" s="14" t="n"/>
      <c r="K63" s="14" t="n">
        <v>3</v>
      </c>
      <c r="L63" s="14" t="n">
        <v>2</v>
      </c>
      <c r="M63" s="14" t="n"/>
      <c r="N63" s="14" t="n"/>
      <c r="O63" s="14" t="n"/>
      <c r="P63" s="14" t="n"/>
      <c r="Q63" s="14" t="n">
        <v>7</v>
      </c>
      <c r="R63" s="14" t="n"/>
      <c r="S63" s="14" t="n">
        <v>10</v>
      </c>
      <c r="T63" s="107" t="n">
        <v>7.5</v>
      </c>
    </row>
    <row r="64">
      <c r="A64" s="14" t="inlineStr">
        <is>
          <t>She and her cat</t>
        </is>
      </c>
      <c r="B64" s="14">
        <f>ROUND(AVERAGE(C64:S64),2)</f>
        <v/>
      </c>
      <c r="C64" s="14" t="n"/>
      <c r="D64" s="14" t="n">
        <v>10</v>
      </c>
      <c r="E64" s="14" t="n"/>
      <c r="F64" s="14" t="n"/>
      <c r="G64" s="14" t="n"/>
      <c r="H64" s="14" t="n"/>
      <c r="I64" s="14" t="n"/>
      <c r="J64" s="14" t="n"/>
      <c r="K64" s="14" t="n">
        <v>3</v>
      </c>
      <c r="L64" s="14" t="n">
        <v>9.5</v>
      </c>
      <c r="M64" s="14" t="n"/>
      <c r="N64" s="14" t="n"/>
      <c r="O64" s="14" t="n"/>
      <c r="P64" s="14" t="n"/>
      <c r="Q64" s="14" t="n">
        <v>6</v>
      </c>
      <c r="R64" s="14" t="n"/>
      <c r="S64" s="14" t="n">
        <v>4</v>
      </c>
      <c r="T64" s="107" t="n">
        <v>10</v>
      </c>
    </row>
    <row r="65">
      <c r="A65" s="14" t="inlineStr">
        <is>
          <t>Aquatic Langauage</t>
        </is>
      </c>
      <c r="B65" s="14">
        <f>ROUND(AVERAGE(C65:S65),2)</f>
        <v/>
      </c>
      <c r="C65" s="14" t="n"/>
      <c r="D65" s="14" t="n">
        <v>3</v>
      </c>
      <c r="E65" s="14" t="n"/>
      <c r="F65" s="14" t="n"/>
      <c r="G65" s="14" t="n"/>
      <c r="H65" s="14" t="n"/>
      <c r="I65" s="14" t="n"/>
      <c r="J65" s="14" t="n"/>
      <c r="K65" s="14" t="n">
        <v>3.5</v>
      </c>
      <c r="L65" s="14" t="n">
        <v>5.5</v>
      </c>
      <c r="M65" s="14" t="n"/>
      <c r="N65" s="14" t="n"/>
      <c r="O65" s="14" t="n"/>
      <c r="P65" s="14" t="n"/>
      <c r="Q65" s="14" t="n">
        <v>6</v>
      </c>
      <c r="R65" s="14" t="n"/>
      <c r="S65" s="14" t="n">
        <v>3</v>
      </c>
      <c r="T65" s="107" t="n">
        <v>7.5</v>
      </c>
    </row>
    <row r="66">
      <c r="A66" s="14" t="inlineStr">
        <is>
          <t>Cencoroll</t>
        </is>
      </c>
      <c r="B66" s="14">
        <f>ROUND(AVERAGE(C66:S66),2)</f>
        <v/>
      </c>
      <c r="C66" s="14" t="n"/>
      <c r="D66" s="14" t="n">
        <v>5</v>
      </c>
      <c r="E66" s="14" t="n"/>
      <c r="F66" s="14" t="n"/>
      <c r="G66" s="14" t="n"/>
      <c r="H66" s="14" t="n"/>
      <c r="I66" s="14" t="n"/>
      <c r="J66" s="14" t="n"/>
      <c r="K66" s="14" t="n">
        <v>5</v>
      </c>
      <c r="L66" s="14" t="n">
        <v>5</v>
      </c>
      <c r="M66" s="14" t="n"/>
      <c r="N66" s="14" t="n"/>
      <c r="O66" s="14" t="n"/>
      <c r="P66" s="14" t="n"/>
      <c r="Q66" s="14" t="n">
        <v>7</v>
      </c>
      <c r="R66" s="14" t="n"/>
      <c r="S66" s="14" t="n">
        <v>5</v>
      </c>
      <c r="T66" s="107" t="n">
        <v>7</v>
      </c>
    </row>
    <row r="67">
      <c r="A67" s="14" t="inlineStr">
        <is>
          <t>Dawn of the eclipse</t>
        </is>
      </c>
      <c r="B67" s="14">
        <f>ROUND(AVERAGE(C67:S67),2)</f>
        <v/>
      </c>
      <c r="C67" s="14" t="n"/>
      <c r="D67" s="14" t="n">
        <v>2</v>
      </c>
      <c r="E67" s="14" t="n"/>
      <c r="F67" s="14" t="n"/>
      <c r="G67" s="14" t="n"/>
      <c r="H67" s="14" t="n"/>
      <c r="I67" s="14" t="n"/>
      <c r="J67" s="14" t="n"/>
      <c r="K67" s="14" t="n">
        <v>7.5</v>
      </c>
      <c r="L67" s="14" t="n">
        <v>3</v>
      </c>
      <c r="M67" s="14" t="n"/>
      <c r="N67" s="14" t="n"/>
      <c r="O67" s="14" t="n"/>
      <c r="P67" s="14" t="n"/>
      <c r="Q67" s="14" t="n">
        <v>7</v>
      </c>
      <c r="R67" s="14" t="n"/>
      <c r="S67" s="14" t="n">
        <v>7</v>
      </c>
      <c r="T67" s="107" t="n">
        <v>8</v>
      </c>
    </row>
    <row r="68">
      <c r="A68" s="14" t="inlineStr">
        <is>
          <t>False Memory</t>
        </is>
      </c>
      <c r="B68" s="14">
        <f>ROUND(AVERAGE(C68:S68),2)</f>
        <v/>
      </c>
      <c r="C68" s="14" t="n"/>
      <c r="D68" s="14" t="n">
        <v>4</v>
      </c>
      <c r="E68" s="14" t="n"/>
      <c r="F68" s="14" t="n"/>
      <c r="G68" s="14" t="n"/>
      <c r="H68" s="14" t="n"/>
      <c r="I68" s="14" t="n"/>
      <c r="J68" s="14" t="n"/>
      <c r="K68" s="14" t="n">
        <v>6</v>
      </c>
      <c r="L68" s="14" t="n">
        <v>8</v>
      </c>
      <c r="M68" s="14" t="n"/>
      <c r="N68" s="14" t="n"/>
      <c r="O68" s="14" t="n"/>
      <c r="P68" s="14" t="n"/>
      <c r="Q68" s="14" t="n">
        <v>8</v>
      </c>
      <c r="R68" s="14" t="n"/>
      <c r="S68" s="14" t="n">
        <v>9</v>
      </c>
      <c r="T68" s="107" t="n">
        <v>3</v>
      </c>
    </row>
    <row r="69">
      <c r="A69" s="14" t="inlineStr">
        <is>
          <t>Flipnote Warrior</t>
        </is>
      </c>
      <c r="B69" s="14">
        <f>ROUND(AVERAGE(C69:S69),2)</f>
        <v/>
      </c>
      <c r="C69" s="14" t="n"/>
      <c r="D69" s="14" t="n">
        <v>5</v>
      </c>
      <c r="E69" s="14" t="n"/>
      <c r="F69" s="14" t="n"/>
      <c r="G69" s="14" t="n"/>
      <c r="H69" s="14" t="n"/>
      <c r="I69" s="14" t="n"/>
      <c r="J69" s="14" t="n"/>
      <c r="K69" s="14" t="n">
        <v>9</v>
      </c>
      <c r="L69" s="14" t="n">
        <v>6</v>
      </c>
      <c r="M69" s="14" t="n"/>
      <c r="N69" s="14" t="n"/>
      <c r="O69" s="14" t="n"/>
      <c r="P69" s="14" t="n"/>
      <c r="Q69" s="14" t="n">
        <v>8</v>
      </c>
      <c r="R69" s="14" t="n"/>
      <c r="S69" s="14" t="n">
        <v>8</v>
      </c>
      <c r="T69" s="107" t="n">
        <v>10</v>
      </c>
    </row>
    <row r="70">
      <c r="A70" s="14" t="inlineStr">
        <is>
          <t>On-gaku</t>
        </is>
      </c>
      <c r="B70" s="14">
        <f>ROUND(AVERAGE(C70:S70),2)</f>
        <v/>
      </c>
      <c r="C70" s="14" t="n"/>
      <c r="D70" s="14" t="n">
        <v>7</v>
      </c>
      <c r="E70" s="14" t="n">
        <v>8</v>
      </c>
      <c r="F70" s="14" t="n"/>
      <c r="G70" s="14" t="n"/>
      <c r="H70" s="14" t="n"/>
      <c r="I70" s="14" t="n"/>
      <c r="J70" s="14" t="n"/>
      <c r="K70" s="14" t="n">
        <v>2.5</v>
      </c>
      <c r="L70" s="14" t="n">
        <v>8.5</v>
      </c>
      <c r="M70" s="14" t="n"/>
      <c r="N70" s="14" t="n"/>
      <c r="O70" s="14" t="n"/>
      <c r="P70" s="14" t="n"/>
      <c r="Q70" s="14" t="n">
        <v>9</v>
      </c>
      <c r="R70" s="14" t="n"/>
      <c r="S70" s="14" t="n">
        <v>7</v>
      </c>
      <c r="T70" s="107" t="n">
        <v>1</v>
      </c>
    </row>
    <row r="71">
      <c r="A71" s="3" t="inlineStr">
        <is>
          <t>Nieśmiertelność 💀</t>
        </is>
      </c>
      <c r="B71" s="3" t="n"/>
    </row>
    <row r="72">
      <c r="A72" s="14" t="inlineStr">
        <is>
          <t>Bryan Jonson Sekta - Dont Die</t>
        </is>
      </c>
      <c r="B72" s="14">
        <f>ROUND(AVERAGE(C72:S72),2)</f>
        <v/>
      </c>
      <c r="C72" s="14" t="n"/>
      <c r="D72" s="14" t="n"/>
      <c r="E72" s="14" t="n">
        <v>7.5</v>
      </c>
      <c r="F72" s="14" t="n">
        <v>4.5</v>
      </c>
      <c r="G72" s="14" t="n"/>
      <c r="H72" s="14" t="n"/>
      <c r="I72" s="14" t="n"/>
      <c r="J72" s="14" t="n"/>
      <c r="K72" s="14" t="n">
        <v>5.5</v>
      </c>
      <c r="L72" s="14" t="n">
        <v>5.5</v>
      </c>
      <c r="M72" s="14" t="n"/>
      <c r="N72" s="14" t="n"/>
      <c r="O72" s="14" t="n">
        <v>6.5</v>
      </c>
      <c r="P72" s="14" t="n"/>
      <c r="Q72" s="14" t="n">
        <v>4</v>
      </c>
      <c r="R72" s="14" t="n"/>
      <c r="S72" s="14" t="n">
        <v>4</v>
      </c>
    </row>
    <row r="73">
      <c r="A73" s="14" t="inlineStr">
        <is>
          <t>Alex Honnold - Free solo</t>
        </is>
      </c>
      <c r="B73" s="14">
        <f>ROUND(AVERAGE(C73:S73),2)</f>
        <v/>
      </c>
      <c r="C73" s="14" t="n"/>
      <c r="D73" s="14" t="n"/>
      <c r="E73" s="14" t="n">
        <v>7</v>
      </c>
      <c r="F73" s="14" t="n">
        <v>6</v>
      </c>
      <c r="G73" s="14" t="n"/>
      <c r="H73" s="14" t="n"/>
      <c r="I73" s="14" t="n"/>
      <c r="J73" s="14" t="n"/>
      <c r="K73" s="14" t="n">
        <v>5</v>
      </c>
      <c r="L73" s="14" t="n">
        <v>3.5</v>
      </c>
      <c r="M73" s="14" t="n">
        <v>6</v>
      </c>
      <c r="N73" s="14" t="n"/>
      <c r="O73" s="14" t="n">
        <v>5.5</v>
      </c>
      <c r="P73" s="14" t="n"/>
      <c r="Q73" s="14" t="n">
        <v>7</v>
      </c>
      <c r="R73" s="14" t="n"/>
      <c r="S73" s="14" t="n">
        <v>7</v>
      </c>
    </row>
    <row r="74">
      <c r="A74" s="3" t="inlineStr">
        <is>
          <t>Gadajáce Zwierzéta</t>
        </is>
      </c>
      <c r="B74" s="3" t="n"/>
    </row>
    <row r="75">
      <c r="A75" s="14" t="inlineStr">
        <is>
          <t>Hoppers</t>
        </is>
      </c>
      <c r="B75" s="14">
        <f>ROUND(AVERAGE(C75:T75),2)</f>
        <v/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>
        <v>8</v>
      </c>
      <c r="L75" s="14" t="n"/>
      <c r="M75" s="14" t="n">
        <v>9</v>
      </c>
      <c r="N75" s="14" t="n">
        <v>10</v>
      </c>
      <c r="O75" s="14" t="n"/>
      <c r="P75" s="14" t="n">
        <v>10</v>
      </c>
      <c r="Q75" s="14" t="n">
        <v>9</v>
      </c>
      <c r="R75" s="14" t="n"/>
      <c r="S75" s="14" t="n">
        <v>6</v>
      </c>
      <c r="T75" s="14" t="n"/>
    </row>
    <row r="76">
      <c r="A76" s="14" t="inlineStr">
        <is>
          <t>John Wick</t>
        </is>
      </c>
      <c r="B76" s="14">
        <f>ROUND(AVERAGE(C76:T76),2)</f>
        <v/>
      </c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>
        <v>6</v>
      </c>
      <c r="L76" s="14" t="n"/>
      <c r="M76" s="14" t="n">
        <v>9</v>
      </c>
      <c r="N76" s="14" t="n">
        <v>9</v>
      </c>
      <c r="O76" s="14" t="n"/>
      <c r="P76" s="14" t="n">
        <v>10</v>
      </c>
      <c r="Q76" s="14" t="n">
        <v>9</v>
      </c>
      <c r="R76" s="14" t="n"/>
      <c r="S76" s="14" t="n">
        <v>8</v>
      </c>
      <c r="T76" s="14" t="n"/>
    </row>
    <row r="77">
      <c r="A77" s="3" t="inlineStr">
        <is>
          <t>noc w muzeum 🖼️</t>
        </is>
      </c>
      <c r="B77" s="3" t="n"/>
    </row>
    <row r="78">
      <c r="A78" s="14" t="inlineStr">
        <is>
          <t>noc w muzeum 1</t>
        </is>
      </c>
      <c r="B78" s="14">
        <f>ROUND(AVERAGE(C78:T78),2)</f>
        <v/>
      </c>
      <c r="C78" s="14" t="n"/>
      <c r="D78" s="14" t="n"/>
      <c r="E78" s="14" t="n"/>
      <c r="F78" s="14" t="n">
        <v>8</v>
      </c>
      <c r="G78" s="14" t="n"/>
      <c r="H78" s="14" t="n"/>
      <c r="I78" s="14" t="n"/>
      <c r="J78" s="14" t="n"/>
      <c r="K78" s="14" t="n">
        <v>7</v>
      </c>
      <c r="L78" s="14" t="n"/>
      <c r="M78" s="14" t="n">
        <v>6</v>
      </c>
      <c r="N78" s="14" t="n"/>
      <c r="O78" s="14" t="n">
        <v>6</v>
      </c>
      <c r="P78" s="14" t="n">
        <v>10</v>
      </c>
      <c r="Q78" s="14" t="n">
        <v>7</v>
      </c>
      <c r="R78" s="14" t="n"/>
      <c r="S78" s="14" t="n">
        <v>5</v>
      </c>
      <c r="T78" s="14" t="n"/>
    </row>
    <row r="79">
      <c r="A79" s="14" t="inlineStr">
        <is>
          <t>noc w muzeum 2</t>
        </is>
      </c>
      <c r="B79" s="14">
        <f>ROUND(AVERAGE(C79:T79),2)</f>
        <v/>
      </c>
      <c r="C79" s="14" t="n"/>
      <c r="D79" s="14" t="n"/>
      <c r="E79" s="14" t="n"/>
      <c r="F79" s="14" t="n">
        <v>7</v>
      </c>
      <c r="G79" s="14" t="n"/>
      <c r="H79" s="14" t="n"/>
      <c r="I79" s="14" t="n"/>
      <c r="J79" s="14" t="n"/>
      <c r="K79" s="14" t="n">
        <v>5</v>
      </c>
      <c r="L79" s="14" t="n"/>
      <c r="M79" s="14" t="n">
        <v>6</v>
      </c>
      <c r="N79" s="14" t="n"/>
      <c r="O79" s="14" t="n">
        <v>7</v>
      </c>
      <c r="P79" s="14" t="n">
        <v>10</v>
      </c>
      <c r="Q79" s="14" t="n">
        <v>6</v>
      </c>
      <c r="R79" s="14" t="n"/>
      <c r="S79" s="14" t="n">
        <v>5</v>
      </c>
      <c r="T79" s="14" t="n"/>
    </row>
    <row r="80">
      <c r="A80" s="33" t="inlineStr">
        <is>
          <t>Bowl ass haircut 🐵</t>
        </is>
      </c>
      <c r="B80" s="14" t="n"/>
    </row>
    <row r="81">
      <c r="A81" s="33" t="inlineStr">
        <is>
          <t>jacys rycerze</t>
        </is>
      </c>
      <c r="B81" s="14">
        <f>ROUND(AVERAGE(C81:T81),2)</f>
        <v/>
      </c>
      <c r="F81" s="107" t="n">
        <v>7</v>
      </c>
      <c r="H81" s="107" t="n">
        <v>7</v>
      </c>
      <c r="K81" s="107" t="n">
        <v>8</v>
      </c>
      <c r="L81" s="107" t="n">
        <v>7</v>
      </c>
      <c r="M81" s="107" t="n">
        <v>7</v>
      </c>
      <c r="P81" s="107" t="n">
        <v>10</v>
      </c>
      <c r="Q81" s="107" t="n">
        <v>8</v>
      </c>
      <c r="S81" s="107" t="n">
        <v>8</v>
      </c>
    </row>
    <row r="82">
      <c r="A82" s="33" t="inlineStr">
        <is>
          <t>jaka laska</t>
        </is>
      </c>
      <c r="B82" s="14">
        <f>ROUND(AVERAGE(C82:T82),2)</f>
        <v/>
      </c>
      <c r="F82" s="107" t="n">
        <v>9</v>
      </c>
      <c r="H82" s="107" t="n">
        <v>8</v>
      </c>
      <c r="K82" s="107" t="n">
        <v>3</v>
      </c>
      <c r="L82" s="107" t="n">
        <v>10</v>
      </c>
      <c r="M82" s="107" t="n">
        <v>7</v>
      </c>
      <c r="P82" s="107" t="n">
        <v>10</v>
      </c>
      <c r="Q82" s="107" t="n">
        <v>9</v>
      </c>
      <c r="S82" s="107" t="n">
        <v>6.00000000001</v>
      </c>
    </row>
    <row r="83">
      <c r="A83" s="3" t="inlineStr">
        <is>
          <t>Samuraj</t>
        </is>
      </c>
      <c r="B83" s="3" t="n"/>
    </row>
    <row r="84">
      <c r="A84" s="14" t="inlineStr">
        <is>
          <t>Hara-Kiri Death of a Samurai</t>
        </is>
      </c>
      <c r="B84" s="14">
        <f>ROUND(AVERAGE(C84:T84),2)</f>
        <v/>
      </c>
      <c r="F84" s="107" t="n">
        <v>4</v>
      </c>
      <c r="I84" s="107" t="n">
        <v>6.5</v>
      </c>
      <c r="K84" s="107" t="n">
        <v>3</v>
      </c>
      <c r="M84" s="107" t="n">
        <v>4</v>
      </c>
    </row>
    <row r="85">
      <c r="A85" s="14" t="inlineStr">
        <is>
          <t>13 Asassins</t>
        </is>
      </c>
      <c r="B85" s="14">
        <f>ROUND(AVERAGE(C85:T85),2)</f>
        <v/>
      </c>
      <c r="F85" s="107" t="n">
        <v>6</v>
      </c>
      <c r="I85" s="107" t="n">
        <v>5</v>
      </c>
      <c r="K85" s="107" t="n">
        <v>6</v>
      </c>
      <c r="M85" s="107" t="n">
        <v>6</v>
      </c>
    </row>
    <row r="86">
      <c r="A86" s="129" t="inlineStr">
        <is>
          <t>Moi mężowie 2 :*</t>
        </is>
      </c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9" t="n"/>
    </row>
    <row r="87">
      <c r="A87" s="130" t="inlineStr">
        <is>
          <t>Park z dinozaurami</t>
        </is>
      </c>
      <c r="B87" s="130" t="n">
        <v>7.33</v>
      </c>
      <c r="C87" s="130" t="n">
        <v>7</v>
      </c>
      <c r="D87" s="130" t="n">
        <v>9</v>
      </c>
      <c r="E87" s="130" t="n"/>
      <c r="F87" s="130" t="n">
        <v>7</v>
      </c>
      <c r="G87" s="130" t="n"/>
      <c r="H87" s="130" t="n"/>
      <c r="I87" s="130" t="n"/>
      <c r="J87" s="130" t="n"/>
      <c r="K87" s="130" t="n">
        <v>6.5</v>
      </c>
      <c r="L87" s="130" t="n"/>
      <c r="M87" s="130" t="n">
        <v>7</v>
      </c>
      <c r="N87" s="130" t="n"/>
      <c r="O87" s="130" t="n"/>
      <c r="P87" s="130" t="n"/>
      <c r="Q87" s="130" t="n">
        <v>7.5</v>
      </c>
      <c r="R87" s="130" t="n"/>
      <c r="S87" s="130" t="n"/>
      <c r="T87" s="130" t="n"/>
    </row>
    <row r="88">
      <c r="A88" s="130" t="inlineStr">
        <is>
          <t>Jeździec bez głowy</t>
        </is>
      </c>
      <c r="B88" s="130" t="n">
        <v>8.57</v>
      </c>
      <c r="C88" s="130" t="n">
        <v>8</v>
      </c>
      <c r="D88" s="130" t="n">
        <v>9</v>
      </c>
      <c r="E88" s="130" t="n"/>
      <c r="F88" s="130" t="n">
        <v>7.5</v>
      </c>
      <c r="G88" s="130" t="n"/>
      <c r="H88" s="130" t="n"/>
      <c r="I88" s="130" t="n"/>
      <c r="J88" s="130" t="n"/>
      <c r="K88" s="130" t="n">
        <v>9.5</v>
      </c>
      <c r="L88" s="130" t="n"/>
      <c r="M88" s="130" t="n">
        <v>9</v>
      </c>
      <c r="N88" s="130" t="n"/>
      <c r="O88" s="130" t="n">
        <v>9</v>
      </c>
      <c r="P88" s="130" t="n"/>
      <c r="Q88" s="130" t="n">
        <v>8</v>
      </c>
      <c r="R88" s="130" t="n"/>
      <c r="S88" s="130" t="n"/>
      <c r="T88" s="130" t="n"/>
    </row>
    <row r="89">
      <c r="A89" s="129" t="inlineStr">
        <is>
          <t>Stoner bro comedy</t>
        </is>
      </c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9" t="n"/>
    </row>
    <row r="90">
      <c r="A90" s="129" t="inlineStr">
        <is>
          <t>Stoner bro comedy</t>
        </is>
      </c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9" t="n"/>
      <c r="U90" s="129" t="n"/>
    </row>
    <row r="91">
      <c r="A91" s="130" t="inlineStr">
        <is>
          <t>Harold and Kumar go to Whitecastle</t>
        </is>
      </c>
      <c r="B91" s="130" t="n">
        <v>6.93</v>
      </c>
      <c r="C91" s="130" t="n"/>
      <c r="D91" s="130" t="n">
        <v>5</v>
      </c>
      <c r="E91" s="130" t="n"/>
      <c r="F91" s="130" t="n">
        <v>8</v>
      </c>
      <c r="G91" s="130" t="n"/>
      <c r="H91" s="130" t="n"/>
      <c r="I91" s="130" t="n"/>
      <c r="J91" s="130" t="n"/>
      <c r="K91" s="130" t="n">
        <v>7</v>
      </c>
      <c r="L91" s="130" t="n"/>
      <c r="M91" s="130" t="n"/>
      <c r="N91" s="130" t="n"/>
      <c r="O91" s="130" t="n">
        <v>6.5</v>
      </c>
      <c r="P91" s="130" t="n"/>
      <c r="Q91" s="130" t="n">
        <v>7</v>
      </c>
      <c r="R91" s="130" t="n"/>
      <c r="S91" s="130" t="n">
        <v>9</v>
      </c>
      <c r="T91" s="130" t="n"/>
      <c r="U91" s="130" t="n">
        <v>6</v>
      </c>
    </row>
    <row r="92">
      <c r="A92" s="130" t="inlineStr">
        <is>
          <t>Dude, where's my car?</t>
        </is>
      </c>
      <c r="B92" s="130" t="n">
        <v>4.14</v>
      </c>
      <c r="C92" s="130" t="n"/>
      <c r="D92" s="130" t="n">
        <v>2.5</v>
      </c>
      <c r="E92" s="130" t="n"/>
      <c r="F92" s="130" t="n">
        <v>3</v>
      </c>
      <c r="G92" s="130" t="n"/>
      <c r="H92" s="130" t="n"/>
      <c r="I92" s="130" t="n"/>
      <c r="J92" s="130" t="n"/>
      <c r="K92" s="130" t="n">
        <v>7.5</v>
      </c>
      <c r="L92" s="130" t="n"/>
      <c r="M92" s="130" t="n"/>
      <c r="N92" s="130" t="n"/>
      <c r="O92" s="130" t="n">
        <v>4</v>
      </c>
      <c r="P92" s="130" t="n"/>
      <c r="Q92" s="130" t="n">
        <v>3</v>
      </c>
      <c r="R92" s="130" t="n"/>
      <c r="S92" s="130" t="n">
        <v>6</v>
      </c>
      <c r="T92" s="130" t="n"/>
      <c r="U92" s="130" t="n">
        <v>3</v>
      </c>
    </row>
    <row r="93">
      <c r="A93" s="129" t="inlineStr">
        <is>
          <t>zapomniane bajki</t>
        </is>
      </c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9" t="n"/>
      <c r="U93" s="129" t="n"/>
      <c r="V93" s="129" t="n"/>
    </row>
    <row r="94">
      <c r="A94" s="130" t="inlineStr">
        <is>
          <t>Stalowy Gigant</t>
        </is>
      </c>
      <c r="B94" s="130" t="n">
        <v>6.83</v>
      </c>
      <c r="C94" s="130" t="n"/>
      <c r="D94" s="130" t="n"/>
      <c r="E94" s="130" t="n"/>
      <c r="F94" s="130" t="n">
        <v>7.5</v>
      </c>
      <c r="G94" s="130" t="n"/>
      <c r="H94" s="130" t="n"/>
      <c r="I94" s="130" t="n"/>
      <c r="J94" s="130" t="n"/>
      <c r="K94" s="130" t="n">
        <v>3.5</v>
      </c>
      <c r="L94" s="130" t="n"/>
      <c r="M94" s="130" t="n">
        <v>8</v>
      </c>
      <c r="N94" s="130" t="n">
        <v>8</v>
      </c>
      <c r="O94" s="130" t="n">
        <v>6</v>
      </c>
      <c r="P94" s="130" t="n"/>
      <c r="Q94" s="130" t="n">
        <v>8</v>
      </c>
      <c r="R94" s="130" t="n"/>
      <c r="S94" s="130" t="n"/>
      <c r="T94" s="130" t="n"/>
      <c r="U94" s="130" t="n"/>
      <c r="V94" s="130" t="n"/>
    </row>
    <row r="95">
      <c r="A95" s="130" t="inlineStr">
        <is>
          <t>Roboty</t>
        </is>
      </c>
      <c r="B95" s="130" t="n">
        <v>7.29</v>
      </c>
      <c r="C95" s="130" t="n"/>
      <c r="D95" s="130" t="n"/>
      <c r="E95" s="130" t="n"/>
      <c r="F95" s="130" t="n">
        <v>7.5</v>
      </c>
      <c r="G95" s="130" t="n"/>
      <c r="H95" s="130" t="n"/>
      <c r="I95" s="130" t="n"/>
      <c r="J95" s="130" t="n"/>
      <c r="K95" s="130" t="n">
        <v>9.5</v>
      </c>
      <c r="L95" s="130" t="n"/>
      <c r="M95" s="130" t="n">
        <v>8</v>
      </c>
      <c r="N95" s="130" t="n">
        <v>7.5</v>
      </c>
      <c r="O95" s="130" t="n">
        <v>7.5</v>
      </c>
      <c r="P95" s="130" t="n"/>
      <c r="Q95" s="130" t="n">
        <v>8</v>
      </c>
      <c r="R95" s="130" t="n"/>
      <c r="S95" s="130" t="n">
        <v>3</v>
      </c>
      <c r="T95" s="130" t="n"/>
      <c r="U95" s="130" t="n"/>
      <c r="V95" s="130" t="n"/>
    </row>
    <row r="96">
      <c r="A96" s="129" t="inlineStr">
        <is>
          <t>Angry Birds</t>
        </is>
      </c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9" t="n"/>
      <c r="U96" s="129" t="n"/>
      <c r="V96" s="129" t="n"/>
    </row>
    <row r="97">
      <c r="A97" s="130" t="inlineStr">
        <is>
          <t>Angry Birds 1</t>
        </is>
      </c>
      <c r="B97" s="130" t="n">
        <v>6.07</v>
      </c>
      <c r="C97" s="130" t="n"/>
      <c r="D97" s="130" t="n"/>
      <c r="E97" s="130" t="n"/>
      <c r="F97" s="130" t="n">
        <v>6.5</v>
      </c>
      <c r="G97" s="130" t="n"/>
      <c r="H97" s="130" t="n"/>
      <c r="I97" s="130" t="n"/>
      <c r="J97" s="130" t="n"/>
      <c r="K97" s="130" t="n">
        <v>5.5</v>
      </c>
      <c r="L97" s="130" t="n"/>
      <c r="M97" s="130" t="n">
        <v>8.5</v>
      </c>
      <c r="N97" s="130" t="n">
        <v>8</v>
      </c>
      <c r="O97" s="130" t="n">
        <v>5.5</v>
      </c>
      <c r="P97" s="130" t="n"/>
      <c r="Q97" s="130" t="n">
        <v>5</v>
      </c>
      <c r="R97" s="130" t="n"/>
      <c r="S97" s="130" t="n">
        <v>3.5</v>
      </c>
      <c r="T97" s="130" t="n"/>
      <c r="U97" s="130" t="n"/>
      <c r="V97" s="130" t="n"/>
    </row>
    <row r="98">
      <c r="A98" s="130" t="inlineStr">
        <is>
          <t>Wkurzone Ptaki 2</t>
        </is>
      </c>
      <c r="B98" s="130" t="n">
        <v>5.29</v>
      </c>
      <c r="C98" s="130" t="n"/>
      <c r="D98" s="130" t="n"/>
      <c r="E98" s="130" t="n"/>
      <c r="F98" s="130" t="n">
        <v>7</v>
      </c>
      <c r="G98" s="130" t="n"/>
      <c r="H98" s="130" t="n"/>
      <c r="I98" s="130" t="n"/>
      <c r="J98" s="130" t="n"/>
      <c r="K98" s="130" t="n">
        <v>6</v>
      </c>
      <c r="L98" s="130" t="n"/>
      <c r="M98" s="130" t="n">
        <v>3.5</v>
      </c>
      <c r="N98" s="130" t="n">
        <v>5.5</v>
      </c>
      <c r="O98" s="130" t="n">
        <v>6.5</v>
      </c>
      <c r="P98" s="130" t="n"/>
      <c r="Q98" s="130" t="n">
        <v>6.5</v>
      </c>
      <c r="R98" s="130" t="n"/>
      <c r="S98" s="130" t="n">
        <v>2</v>
      </c>
      <c r="T98" s="130" t="n"/>
      <c r="U98" s="130" t="n"/>
      <c r="V98" s="130" t="n"/>
    </row>
    <row r="99">
      <c r="A99" s="129" t="inlineStr">
        <is>
          <t>Silne Baby</t>
        </is>
      </c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9" t="n"/>
      <c r="U99" s="129" t="n"/>
      <c r="V99" s="129" t="n"/>
    </row>
    <row r="100">
      <c r="A100" s="130" t="inlineStr">
        <is>
          <t>Sztuka kochania</t>
        </is>
      </c>
      <c r="B100" s="130" t="n">
        <v>9.6</v>
      </c>
      <c r="C100" s="130" t="n"/>
      <c r="D100" s="130" t="n"/>
      <c r="E100" s="130" t="n"/>
      <c r="F100" s="130" t="n"/>
      <c r="G100" s="130" t="n"/>
      <c r="H100" s="130" t="n"/>
      <c r="I100" s="130" t="n"/>
      <c r="J100" s="130" t="n"/>
      <c r="K100" s="130" t="n">
        <v>10</v>
      </c>
      <c r="L100" s="130" t="n"/>
      <c r="M100" s="130" t="n">
        <v>10</v>
      </c>
      <c r="N100" s="130" t="n">
        <v>10</v>
      </c>
      <c r="O100" s="130" t="n"/>
      <c r="P100" s="130" t="n">
        <v>10</v>
      </c>
      <c r="Q100" s="130" t="n"/>
      <c r="R100" s="130" t="n"/>
      <c r="S100" s="130" t="n">
        <v>8</v>
      </c>
      <c r="T100" s="130" t="n"/>
      <c r="U100" s="130" t="n"/>
      <c r="V100" s="130" t="n"/>
    </row>
    <row r="101">
      <c r="A101" s="130" t="inlineStr">
        <is>
          <t>Sucker Punch</t>
        </is>
      </c>
      <c r="B101" s="130" t="n">
        <v>6.5</v>
      </c>
      <c r="C101" s="130" t="n"/>
      <c r="D101" s="130" t="n"/>
      <c r="E101" s="130" t="n"/>
      <c r="F101" s="130" t="n"/>
      <c r="G101" s="130" t="n"/>
      <c r="H101" s="130" t="n"/>
      <c r="I101" s="130" t="n"/>
      <c r="J101" s="130" t="n"/>
      <c r="K101" s="130" t="n">
        <v>9</v>
      </c>
      <c r="L101" s="130" t="n"/>
      <c r="M101" s="130" t="n">
        <v>7.5</v>
      </c>
      <c r="N101" s="130" t="n">
        <v>6</v>
      </c>
      <c r="O101" s="130" t="n"/>
      <c r="P101" s="130" t="n">
        <v>1</v>
      </c>
      <c r="Q101" s="130" t="n"/>
      <c r="R101" s="130" t="n"/>
      <c r="S101" s="130" t="n">
        <v>9</v>
      </c>
      <c r="T101" s="130" t="n"/>
      <c r="U101" s="130" t="n"/>
      <c r="V101" s="130" t="n"/>
    </row>
    <row r="102">
      <c r="A102" s="129" t="inlineStr">
        <is>
          <t>O bieganiu</t>
        </is>
      </c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9" t="n"/>
      <c r="U102" s="129" t="n"/>
      <c r="V102" s="129" t="n"/>
    </row>
    <row r="103">
      <c r="A103" s="130" t="inlineStr">
        <is>
          <t>Hyakuemu</t>
        </is>
      </c>
      <c r="B103" s="130" t="n">
        <v>5.12</v>
      </c>
      <c r="C103" s="130" t="n"/>
      <c r="D103" s="130" t="n"/>
      <c r="E103" s="130" t="n"/>
      <c r="F103" s="130" t="n"/>
      <c r="G103" s="130" t="n"/>
      <c r="H103" s="130" t="n"/>
      <c r="I103" s="130" t="n"/>
      <c r="J103" s="130" t="n"/>
      <c r="K103" s="130" t="n">
        <v>4</v>
      </c>
      <c r="L103" s="130" t="n"/>
      <c r="M103" s="130" t="n">
        <v>3</v>
      </c>
      <c r="N103" s="130" t="n">
        <v>4.5</v>
      </c>
      <c r="O103" s="130" t="n"/>
      <c r="P103" s="130" t="n"/>
      <c r="Q103" s="130" t="n"/>
      <c r="R103" s="130" t="n"/>
      <c r="S103" s="130" t="n">
        <v>9</v>
      </c>
      <c r="T103" s="130" t="n"/>
      <c r="U103" s="130" t="n"/>
      <c r="V103" s="130" t="n"/>
    </row>
    <row r="104">
      <c r="A104" s="130" t="inlineStr">
        <is>
          <t>World Record (animatrix)</t>
        </is>
      </c>
      <c r="B104" s="130" t="n">
        <v>6</v>
      </c>
      <c r="C104" s="130" t="n"/>
      <c r="D104" s="130" t="n"/>
      <c r="E104" s="130" t="n"/>
      <c r="F104" s="130" t="n"/>
      <c r="G104" s="130" t="n"/>
      <c r="H104" s="130" t="n"/>
      <c r="I104" s="130" t="n"/>
      <c r="J104" s="130" t="n"/>
      <c r="K104" s="130" t="n">
        <v>5.5</v>
      </c>
      <c r="L104" s="130" t="n"/>
      <c r="M104" s="130" t="n">
        <v>5</v>
      </c>
      <c r="N104" s="130" t="n">
        <v>5.5</v>
      </c>
      <c r="O104" s="130" t="n"/>
      <c r="P104" s="130" t="n"/>
      <c r="Q104" s="130" t="n"/>
      <c r="R104" s="130" t="n"/>
      <c r="S104" s="130" t="n">
        <v>8</v>
      </c>
      <c r="T104" s="130" t="n"/>
      <c r="U104" s="130" t="n"/>
      <c r="V104" s="130" t="n"/>
    </row>
    <row r="105">
      <c r="A105" s="129" t="inlineStr">
        <is>
          <t>pojebane anime</t>
        </is>
      </c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9" t="n"/>
      <c r="P105" s="129" t="n"/>
      <c r="Q105" s="129" t="n"/>
      <c r="R105" s="129" t="n"/>
      <c r="S105" s="129" t="n"/>
      <c r="T105" s="129" t="n"/>
      <c r="U105" s="129" t="n"/>
      <c r="V105" s="129" t="n"/>
      <c r="W105" s="129" t="n"/>
    </row>
    <row r="106">
      <c r="A106" s="130" t="inlineStr">
        <is>
          <t>Roujin Z</t>
        </is>
      </c>
      <c r="B106" s="130" t="n">
        <v>7.36</v>
      </c>
      <c r="C106" s="130" t="n"/>
      <c r="D106" s="130" t="n"/>
      <c r="E106" s="130" t="n"/>
      <c r="F106" s="130" t="n">
        <v>6.5</v>
      </c>
      <c r="G106" s="130" t="n"/>
      <c r="H106" s="130" t="n"/>
      <c r="I106" s="130" t="n">
        <v>5</v>
      </c>
      <c r="J106" s="130" t="n"/>
      <c r="K106" s="130" t="n">
        <v>7</v>
      </c>
      <c r="L106" s="130" t="n"/>
      <c r="M106" s="130" t="n"/>
      <c r="N106" s="130" t="n"/>
      <c r="O106" s="130" t="n"/>
      <c r="P106" s="130" t="n">
        <v>10</v>
      </c>
      <c r="Q106" s="130" t="n">
        <v>7</v>
      </c>
      <c r="R106" s="130" t="n"/>
      <c r="S106" s="130" t="n">
        <v>6.5</v>
      </c>
      <c r="T106" s="130" t="n"/>
      <c r="U106" s="130" t="n"/>
      <c r="V106" s="130" t="n"/>
      <c r="W106" s="130" t="n">
        <v>9.5</v>
      </c>
    </row>
    <row r="107">
      <c r="A107" s="130" t="inlineStr">
        <is>
          <t>Memories: Magnetic Rose</t>
        </is>
      </c>
      <c r="B107" s="130" t="n">
        <v>7.64</v>
      </c>
      <c r="C107" s="130" t="n"/>
      <c r="D107" s="130" t="n"/>
      <c r="E107" s="130" t="n"/>
      <c r="F107" s="130" t="n">
        <v>8</v>
      </c>
      <c r="G107" s="130" t="n"/>
      <c r="H107" s="130" t="n"/>
      <c r="I107" s="130" t="n">
        <v>8.5</v>
      </c>
      <c r="J107" s="130" t="n"/>
      <c r="K107" s="130" t="n">
        <v>8.5</v>
      </c>
      <c r="L107" s="130" t="n"/>
      <c r="M107" s="130" t="n"/>
      <c r="N107" s="130" t="n"/>
      <c r="O107" s="130" t="n"/>
      <c r="P107" s="130" t="n">
        <v>5.5</v>
      </c>
      <c r="Q107" s="130" t="n">
        <v>9</v>
      </c>
      <c r="R107" s="130" t="n"/>
      <c r="S107" s="130" t="n">
        <v>8</v>
      </c>
      <c r="T107" s="130" t="n"/>
      <c r="U107" s="130" t="n"/>
      <c r="V107" s="130" t="n"/>
      <c r="W107" s="130" t="n">
        <v>6</v>
      </c>
    </row>
    <row r="108">
      <c r="A108" s="130" t="inlineStr">
        <is>
          <t>Memories: Stink Bomb</t>
        </is>
      </c>
      <c r="B108" s="130" t="n">
        <v>6.75</v>
      </c>
      <c r="C108" s="130" t="n"/>
      <c r="D108" s="130" t="n"/>
      <c r="E108" s="130" t="n"/>
      <c r="F108" s="130" t="n">
        <v>5.5</v>
      </c>
      <c r="G108" s="130" t="n"/>
      <c r="H108" s="130" t="n"/>
      <c r="I108" s="130" t="n">
        <v>7</v>
      </c>
      <c r="J108" s="130" t="n"/>
      <c r="K108" s="130" t="n">
        <v>8</v>
      </c>
      <c r="L108" s="130" t="n"/>
      <c r="M108" s="130" t="n"/>
      <c r="N108" s="130" t="n"/>
      <c r="O108" s="130" t="n"/>
      <c r="P108" s="130" t="n"/>
      <c r="Q108" s="130" t="n">
        <v>8</v>
      </c>
      <c r="R108" s="130" t="n"/>
      <c r="S108" s="130" t="n">
        <v>2</v>
      </c>
      <c r="T108" s="130" t="n"/>
      <c r="U108" s="130" t="n"/>
      <c r="V108" s="130" t="n"/>
      <c r="W108" s="130" t="n">
        <v>10</v>
      </c>
    </row>
    <row r="109">
      <c r="A109" s="130" t="inlineStr">
        <is>
          <t>Memories: Cannon Fodder</t>
        </is>
      </c>
      <c r="B109" s="130" t="n">
        <v>5</v>
      </c>
      <c r="C109" s="130" t="n"/>
      <c r="D109" s="130" t="n"/>
      <c r="E109" s="130" t="n"/>
      <c r="F109" s="130" t="n">
        <v>3.5</v>
      </c>
      <c r="G109" s="130" t="n"/>
      <c r="H109" s="130" t="n"/>
      <c r="I109" s="130" t="n">
        <v>5</v>
      </c>
      <c r="J109" s="130" t="n"/>
      <c r="K109" s="130" t="n">
        <v>2.5</v>
      </c>
      <c r="L109" s="130" t="n"/>
      <c r="M109" s="130" t="n"/>
      <c r="N109" s="130" t="n"/>
      <c r="O109" s="130" t="n"/>
      <c r="P109" s="130" t="n"/>
      <c r="Q109" s="130" t="n">
        <v>5</v>
      </c>
      <c r="R109" s="130" t="n"/>
      <c r="S109" s="130" t="n">
        <v>6</v>
      </c>
      <c r="T109" s="130" t="n"/>
      <c r="U109" s="130" t="n"/>
      <c r="V109" s="130" t="n"/>
      <c r="W109" s="130" t="n">
        <v>8</v>
      </c>
    </row>
  </sheetData>
  <conditionalFormatting sqref="B2:T2 B5:B6 B8:B9 B11:B12 B14:B15 B17:B18 B20:B21 B23:B28 B30:B31 B33:B34 B36:B37 B39 B41:B42 B44:B45 B47:B48 B50:B57 B59:B61 B63:B70 B72:B73 B75:B76 B78:B82 B84:B85 C40:S40">
    <cfRule type="colorScale" priority="1">
      <colorScale>
        <cfvo type="formula" val="1"/>
        <cfvo type="formula" val="5"/>
        <cfvo type="formula" val="10"/>
        <color rgb="FFE67C73"/>
        <color rgb="FFFFD666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X100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8" defaultColWidth="12.63" defaultRowHeight="15.75" customHeight="1"/>
  <cols>
    <col width="35.88" customWidth="1" style="128" min="1" max="1"/>
    <col width="8.25" customWidth="1" style="128" min="2" max="2"/>
  </cols>
  <sheetData>
    <row r="1">
      <c r="B1" s="16" t="n"/>
      <c r="D1" s="51" t="n"/>
      <c r="I1" s="51" t="n"/>
      <c r="J1" s="51" t="n"/>
      <c r="K1" s="51" t="n"/>
      <c r="N1" s="51" t="n"/>
      <c r="P1" s="51" t="n"/>
      <c r="Q1" s="51" t="n"/>
    </row>
    <row r="2">
      <c r="A2" s="33" t="n"/>
      <c r="B2" s="18" t="inlineStr">
        <is>
          <t>Średnia</t>
        </is>
      </c>
      <c r="C2" s="23" t="inlineStr">
        <is>
          <t>xero</t>
        </is>
      </c>
      <c r="D2" s="21" t="inlineStr">
        <is>
          <t>rafal</t>
        </is>
      </c>
      <c r="E2" s="23" t="inlineStr">
        <is>
          <t>mati</t>
        </is>
      </c>
      <c r="F2" s="23" t="inlineStr">
        <is>
          <t>mateo</t>
        </is>
      </c>
      <c r="G2" s="23" t="inlineStr">
        <is>
          <t>kaja</t>
        </is>
      </c>
      <c r="H2" s="23" t="inlineStr">
        <is>
          <t>kacper</t>
        </is>
      </c>
      <c r="I2" s="21" t="inlineStr">
        <is>
          <t>grzeslaw</t>
        </is>
      </c>
      <c r="J2" s="21" t="inlineStr">
        <is>
          <t>lokator</t>
        </is>
      </c>
      <c r="K2" s="22" t="inlineStr">
        <is>
          <t>renata</t>
        </is>
      </c>
      <c r="L2" s="23" t="inlineStr">
        <is>
          <t>bartosz</t>
        </is>
      </c>
      <c r="M2" s="24" t="inlineStr">
        <is>
          <t>julia</t>
        </is>
      </c>
      <c r="N2" s="22" t="inlineStr">
        <is>
          <t>ewa</t>
        </is>
      </c>
      <c r="O2" s="24" t="inlineStr">
        <is>
          <t>cheetos</t>
        </is>
      </c>
      <c r="P2" s="22" t="inlineStr">
        <is>
          <t>staska</t>
        </is>
      </c>
      <c r="Q2" s="25" t="inlineStr">
        <is>
          <t>Wiktoria</t>
        </is>
      </c>
      <c r="R2" s="24" t="inlineStr">
        <is>
          <t>Marta</t>
        </is>
      </c>
      <c r="S2" s="24" t="inlineStr">
        <is>
          <t>mikołaj</t>
        </is>
      </c>
      <c r="T2" s="24" t="inlineStr">
        <is>
          <t>mattias</t>
        </is>
      </c>
      <c r="U2" s="24" t="inlineStr">
        <is>
          <t>wik</t>
        </is>
      </c>
      <c r="V2" s="24" t="inlineStr">
        <is>
          <t>Olga</t>
        </is>
      </c>
      <c r="W2" s="24" t="inlineStr">
        <is>
          <t>Weronika</t>
        </is>
      </c>
      <c r="X2" s="24" t="inlineStr">
        <is>
          <t>Anneczka</t>
        </is>
      </c>
    </row>
    <row r="3">
      <c r="A3" s="33" t="inlineStr">
        <is>
          <t>Średnia</t>
        </is>
      </c>
      <c r="B3" s="26">
        <f>ROUND(AVERAGE($C3:$P3),2)</f>
        <v/>
      </c>
      <c r="C3" s="43">
        <f>ROUND(AVERAGE(C7:C200),2)</f>
        <v/>
      </c>
      <c r="D3" s="28">
        <f>ROUND(AVERAGE(D7:D200),2)</f>
        <v/>
      </c>
      <c r="E3" s="43">
        <f>ROUND(AVERAGE(E7:E200),2)</f>
        <v/>
      </c>
      <c r="F3" s="43">
        <f>ROUND(AVERAGE(F7:F200),2)</f>
        <v/>
      </c>
      <c r="G3" s="43">
        <f>ROUND(AVERAGE(G7:G200),2)</f>
        <v/>
      </c>
      <c r="H3" s="43">
        <f>ROUND(AVERAGE(H7:H200),2)</f>
        <v/>
      </c>
      <c r="I3" s="28">
        <f>ROUND(AVERAGE(I7:I200),2)</f>
        <v/>
      </c>
      <c r="J3" s="28">
        <f>ROUND(AVERAGE(J7:J200),2)</f>
        <v/>
      </c>
      <c r="K3" s="28">
        <f>ROUND(AVERAGE(K7:K200),2)</f>
        <v/>
      </c>
      <c r="L3" s="43">
        <f>ROUND(AVERAGE(L7:L200),2)</f>
        <v/>
      </c>
      <c r="M3" s="43">
        <f>ROUND(AVERAGE(M7:M200),2)</f>
        <v/>
      </c>
      <c r="N3" s="28">
        <f>ROUND(AVERAGE(N7:N200),2)</f>
        <v/>
      </c>
      <c r="O3" s="43">
        <f>ROUND(AVERAGE(O7:O200),2)</f>
        <v/>
      </c>
      <c r="P3" s="28">
        <f>ROUND(AVERAGE(P7:P200),2)</f>
        <v/>
      </c>
      <c r="Q3" s="28">
        <f>ROUND(AVERAGE(Q7:Q200),2)</f>
        <v/>
      </c>
      <c r="R3" s="43">
        <f>ROUND(AVERAGE(R7:R200),2)</f>
        <v/>
      </c>
      <c r="S3" s="43">
        <f>ROUND(AVERAGE(S7:S200),2)</f>
        <v/>
      </c>
      <c r="T3" s="43">
        <f>ROUND(AVERAGE(T7:T200),2)</f>
        <v/>
      </c>
      <c r="U3" s="43">
        <f>ROUND(AVERAGE(U7:U200),2)</f>
        <v/>
      </c>
      <c r="V3" s="43">
        <f>ROUND(AVERAGE(V7:V200),2)</f>
        <v/>
      </c>
      <c r="W3" s="43">
        <f>ROUND(AVERAGE(W7:W200),2)</f>
        <v/>
      </c>
      <c r="X3" s="43">
        <f>ROUND(AVERAGE(X7:X200),2)</f>
        <v/>
      </c>
    </row>
    <row r="4">
      <c r="A4" s="33" t="inlineStr">
        <is>
          <t>Ilość obecności</t>
        </is>
      </c>
      <c r="B4" s="29" t="n"/>
      <c r="C4" s="34" t="n"/>
      <c r="D4" s="31" t="n"/>
      <c r="E4" s="34" t="n"/>
      <c r="F4" s="34" t="n"/>
      <c r="G4" s="34" t="n"/>
      <c r="H4" s="34" t="n"/>
      <c r="I4" s="31" t="n"/>
      <c r="J4" s="32" t="n"/>
      <c r="K4" s="51" t="n"/>
      <c r="L4" s="33" t="n"/>
      <c r="N4" s="51" t="n"/>
      <c r="P4" s="51" t="n"/>
      <c r="Q4" s="51" t="n"/>
    </row>
    <row r="5">
      <c r="A5" s="33" t="inlineStr">
        <is>
          <t>Ilość obejrzanych filmów</t>
        </is>
      </c>
      <c r="B5" s="29" t="n"/>
      <c r="C5" s="34">
        <f>COUNT(C7:C136)</f>
        <v/>
      </c>
      <c r="D5" s="34">
        <f>COUNT(D7:D136)</f>
        <v/>
      </c>
      <c r="E5" s="34">
        <f>COUNT(E7:E136)</f>
        <v/>
      </c>
      <c r="F5" s="34">
        <f>COUNT(F7:F136)</f>
        <v/>
      </c>
      <c r="G5" s="34">
        <f>COUNT(G7:G136)</f>
        <v/>
      </c>
      <c r="H5" s="34">
        <f>COUNT(H7:H136)</f>
        <v/>
      </c>
      <c r="I5" s="34">
        <f>COUNT(I7:I136)</f>
        <v/>
      </c>
      <c r="J5" s="34">
        <f>COUNT(J7:J136)</f>
        <v/>
      </c>
      <c r="K5" s="34">
        <f>COUNT(K7:K136)</f>
        <v/>
      </c>
      <c r="L5" s="34">
        <f>COUNT(L7:L136)</f>
        <v/>
      </c>
      <c r="M5" s="34">
        <f>COUNT(M7:M136)</f>
        <v/>
      </c>
      <c r="N5" s="34">
        <f>COUNT(N7:N136)</f>
        <v/>
      </c>
      <c r="O5" s="34">
        <f>COUNT(O7:O136)</f>
        <v/>
      </c>
      <c r="P5" s="34">
        <f>COUNT(P7:P136)</f>
        <v/>
      </c>
      <c r="Q5" s="34">
        <f>COUNT(Q7:Q136)</f>
        <v/>
      </c>
      <c r="R5" s="34">
        <f>COUNT(R7:R136)</f>
        <v/>
      </c>
      <c r="S5" s="34">
        <f>COUNT(S7:S136)</f>
        <v/>
      </c>
      <c r="T5" s="34">
        <f>COUNT(T7:T136)</f>
        <v/>
      </c>
      <c r="U5" s="34">
        <f>COUNT(U7:U136)</f>
        <v/>
      </c>
      <c r="V5" s="34">
        <f>COUNT(V7:V136)</f>
        <v/>
      </c>
      <c r="W5" s="34">
        <f>COUNT(W7:W136)</f>
        <v/>
      </c>
      <c r="X5" s="34">
        <f>COUNT(X7:X136)</f>
        <v/>
      </c>
    </row>
    <row r="6">
      <c r="A6" s="34" t="inlineStr">
        <is>
          <t>Horrory</t>
        </is>
      </c>
      <c r="B6" s="29" t="n"/>
      <c r="C6" s="34" t="n"/>
      <c r="D6" s="31" t="n"/>
      <c r="E6" s="34" t="n"/>
      <c r="F6" s="34" t="n"/>
      <c r="G6" s="34" t="n"/>
      <c r="H6" s="34" t="n"/>
      <c r="I6" s="31" t="n"/>
      <c r="J6" s="32" t="n"/>
      <c r="K6" s="51" t="n"/>
      <c r="L6" s="33" t="n"/>
      <c r="N6" s="51" t="n"/>
      <c r="P6" s="51" t="n"/>
      <c r="Q6" s="51" t="n"/>
    </row>
    <row r="7">
      <c r="A7" s="43" t="inlineStr">
        <is>
          <t>slotherhouse</t>
        </is>
      </c>
      <c r="B7" s="35">
        <f>ROUND(AVERAGE($C7:$O7),2)</f>
        <v/>
      </c>
      <c r="C7" s="36" t="n">
        <v>2</v>
      </c>
      <c r="D7" s="37" t="n">
        <v>2</v>
      </c>
      <c r="E7" s="36" t="n">
        <v>1.5</v>
      </c>
      <c r="F7" s="36" t="n">
        <v>4</v>
      </c>
      <c r="G7" s="36" t="n">
        <v>2</v>
      </c>
      <c r="H7" s="36" t="n">
        <v>2</v>
      </c>
      <c r="I7" s="37" t="n">
        <v>9</v>
      </c>
      <c r="J7" s="45" t="n"/>
      <c r="K7" s="48" t="n"/>
      <c r="L7" s="44" t="n"/>
      <c r="M7" s="47" t="n"/>
      <c r="N7" s="48" t="n"/>
      <c r="O7" s="47" t="n"/>
      <c r="P7" s="48" t="n"/>
      <c r="Q7" s="51" t="n"/>
    </row>
    <row r="8">
      <c r="A8" s="43" t="inlineStr">
        <is>
          <t>angry black girl and her monster</t>
        </is>
      </c>
      <c r="B8" s="35">
        <f>ROUND(AVERAGE($C8:$O8),2)</f>
        <v/>
      </c>
      <c r="C8" s="36" t="n">
        <v>6</v>
      </c>
      <c r="D8" s="37" t="n">
        <v>1.5</v>
      </c>
      <c r="E8" s="36" t="n">
        <v>4</v>
      </c>
      <c r="F8" s="36" t="n">
        <v>3</v>
      </c>
      <c r="G8" s="36" t="n">
        <v>6.5</v>
      </c>
      <c r="H8" s="36" t="n">
        <v>5.5</v>
      </c>
      <c r="I8" s="37" t="n">
        <v>6</v>
      </c>
      <c r="J8" s="45" t="n"/>
      <c r="K8" s="48" t="n"/>
      <c r="L8" s="44" t="n"/>
      <c r="M8" s="47" t="n"/>
      <c r="N8" s="48" t="n"/>
      <c r="O8" s="47" t="n"/>
      <c r="P8" s="48" t="n"/>
      <c r="Q8" s="51" t="n"/>
    </row>
    <row r="9">
      <c r="A9" s="43" t="inlineStr">
        <is>
          <t>exorcist: believer</t>
        </is>
      </c>
      <c r="B9" s="35">
        <f>ROUND(AVERAGE($C9:$O9),2)</f>
        <v/>
      </c>
      <c r="C9" s="36" t="n">
        <v>5</v>
      </c>
      <c r="D9" s="37" t="n">
        <v>7</v>
      </c>
      <c r="E9" s="36" t="n">
        <v>7.5</v>
      </c>
      <c r="F9" s="36" t="n">
        <v>5</v>
      </c>
      <c r="G9" s="36" t="n">
        <v>5</v>
      </c>
      <c r="H9" s="36" t="n">
        <v>6.5</v>
      </c>
      <c r="I9" s="37" t="n">
        <v>1</v>
      </c>
      <c r="J9" s="45" t="n"/>
      <c r="K9" s="48" t="n"/>
      <c r="L9" s="44" t="n"/>
      <c r="M9" s="47" t="n"/>
      <c r="N9" s="48" t="n"/>
      <c r="O9" s="47" t="n"/>
      <c r="P9" s="48" t="n"/>
      <c r="Q9" s="51" t="n"/>
    </row>
    <row r="10">
      <c r="A10" s="34" t="inlineStr">
        <is>
          <t>Sci-fi</t>
        </is>
      </c>
      <c r="B10" s="42" t="n"/>
      <c r="C10" s="33" t="n"/>
      <c r="D10" s="32" t="n"/>
      <c r="E10" s="33" t="n"/>
      <c r="F10" s="33" t="n"/>
      <c r="G10" s="33" t="n"/>
      <c r="H10" s="33" t="n"/>
      <c r="I10" s="32" t="n"/>
      <c r="J10" s="32" t="n"/>
      <c r="K10" s="51" t="n"/>
      <c r="L10" s="33" t="n"/>
      <c r="N10" s="51" t="n"/>
      <c r="P10" s="51" t="n"/>
      <c r="Q10" s="51" t="n"/>
    </row>
    <row r="11">
      <c r="A11" s="43" t="inlineStr">
        <is>
          <t>pluto nash</t>
        </is>
      </c>
      <c r="B11" s="35">
        <f>ROUND(AVERAGE($C11:$O11),2)</f>
        <v/>
      </c>
      <c r="C11" s="44" t="n">
        <v>6</v>
      </c>
      <c r="D11" s="45" t="n"/>
      <c r="E11" s="44" t="n">
        <v>6</v>
      </c>
      <c r="F11" s="44" t="n">
        <v>5</v>
      </c>
      <c r="G11" s="44" t="n">
        <v>6</v>
      </c>
      <c r="H11" s="44" t="n"/>
      <c r="I11" s="45" t="n">
        <v>7</v>
      </c>
      <c r="J11" s="45" t="n">
        <v>5</v>
      </c>
      <c r="K11" s="48" t="n"/>
      <c r="L11" s="44" t="n"/>
      <c r="M11" s="47" t="n"/>
      <c r="N11" s="48" t="n"/>
      <c r="O11" s="47" t="n"/>
      <c r="P11" s="48" t="n"/>
      <c r="Q11" s="51" t="n"/>
    </row>
    <row r="12">
      <c r="A12" s="46" t="inlineStr">
        <is>
          <t>valerian</t>
        </is>
      </c>
      <c r="B12" s="35">
        <f>ROUND(AVERAGE($C12:$O12),2)</f>
        <v/>
      </c>
      <c r="C12" s="47" t="n">
        <v>3</v>
      </c>
      <c r="D12" s="48" t="n"/>
      <c r="E12" s="47" t="n">
        <v>7</v>
      </c>
      <c r="F12" s="47" t="n">
        <v>4</v>
      </c>
      <c r="G12" s="47" t="n">
        <v>8</v>
      </c>
      <c r="H12" s="47" t="n"/>
      <c r="I12" s="48" t="n">
        <v>6.5</v>
      </c>
      <c r="J12" s="48" t="n">
        <v>3</v>
      </c>
      <c r="K12" s="48" t="n"/>
      <c r="L12" s="44" t="n"/>
      <c r="M12" s="47" t="n"/>
      <c r="N12" s="48" t="n"/>
      <c r="O12" s="47" t="n"/>
      <c r="P12" s="48" t="n"/>
      <c r="Q12" s="51" t="n"/>
    </row>
    <row r="13">
      <c r="A13" s="33" t="n"/>
      <c r="B13" s="42" t="n"/>
      <c r="C13" s="33" t="n"/>
      <c r="D13" s="32" t="n"/>
      <c r="E13" s="33" t="n"/>
      <c r="F13" s="33" t="n"/>
      <c r="G13" s="33" t="n"/>
      <c r="H13" s="33" t="n"/>
      <c r="I13" s="32" t="n"/>
      <c r="J13" s="32" t="n"/>
      <c r="K13" s="51" t="n"/>
      <c r="L13" s="33" t="n"/>
      <c r="N13" s="51" t="n"/>
      <c r="P13" s="51" t="n"/>
      <c r="Q13" s="51" t="n"/>
    </row>
    <row r="14">
      <c r="B14" s="42" t="n"/>
      <c r="D14" s="51" t="n"/>
      <c r="I14" s="51" t="n"/>
      <c r="J14" s="51" t="n"/>
      <c r="K14" s="51" t="n"/>
      <c r="N14" s="51" t="n"/>
      <c r="P14" s="51" t="n"/>
      <c r="Q14" s="51" t="n"/>
    </row>
    <row r="15">
      <c r="A15" s="53" t="inlineStr">
        <is>
          <t>Imprezowe</t>
        </is>
      </c>
      <c r="B15" s="42" t="n"/>
      <c r="D15" s="51" t="n"/>
      <c r="I15" s="51" t="n"/>
      <c r="J15" s="51" t="n"/>
      <c r="K15" s="51" t="n"/>
      <c r="N15" s="51" t="n"/>
      <c r="P15" s="51" t="n"/>
      <c r="Q15" s="51" t="n"/>
    </row>
    <row r="16">
      <c r="A16" s="43" t="inlineStr">
        <is>
          <t>kac wawa</t>
        </is>
      </c>
      <c r="B16" s="50">
        <f>ROUND(AVERAGE($C16:$O16),2)</f>
        <v/>
      </c>
      <c r="C16" s="47" t="n">
        <v>1</v>
      </c>
      <c r="D16" s="48" t="n"/>
      <c r="E16" s="47" t="n">
        <v>1</v>
      </c>
      <c r="F16" s="47" t="n">
        <v>2</v>
      </c>
      <c r="G16" s="47" t="n">
        <v>3</v>
      </c>
      <c r="H16" s="47" t="n">
        <v>1</v>
      </c>
      <c r="I16" s="48" t="n"/>
      <c r="J16" s="48" t="n">
        <v>1</v>
      </c>
      <c r="K16" s="48" t="n">
        <v>3</v>
      </c>
      <c r="L16" s="47" t="n">
        <v>1</v>
      </c>
      <c r="M16" s="47" t="n">
        <v>1</v>
      </c>
      <c r="N16" s="48" t="n"/>
      <c r="O16" s="47" t="n"/>
      <c r="P16" s="48" t="n"/>
      <c r="Q16" s="51" t="n"/>
    </row>
    <row r="17">
      <c r="A17" s="43" t="inlineStr">
        <is>
          <t>all my friends are dead</t>
        </is>
      </c>
      <c r="B17" s="50">
        <f>ROUND(AVERAGE($C17:$O17),2)</f>
        <v/>
      </c>
      <c r="C17" s="47" t="n">
        <v>8</v>
      </c>
      <c r="D17" s="48" t="n"/>
      <c r="E17" s="47" t="n">
        <v>9</v>
      </c>
      <c r="F17" s="47" t="n">
        <v>5</v>
      </c>
      <c r="G17" s="47" t="n">
        <v>6.5</v>
      </c>
      <c r="H17" s="47" t="n">
        <v>5</v>
      </c>
      <c r="I17" s="48" t="n"/>
      <c r="J17" s="48" t="n">
        <v>3</v>
      </c>
      <c r="K17" s="48" t="n">
        <v>6</v>
      </c>
      <c r="L17" s="47" t="n"/>
      <c r="M17" s="47" t="n">
        <v>5</v>
      </c>
      <c r="N17" s="48" t="n"/>
      <c r="O17" s="47" t="n"/>
      <c r="P17" s="48" t="n"/>
      <c r="Q17" s="51" t="n"/>
    </row>
    <row r="18">
      <c r="B18" s="42" t="n"/>
      <c r="D18" s="51" t="n"/>
      <c r="I18" s="51" t="n"/>
      <c r="J18" s="51" t="n"/>
      <c r="K18" s="51" t="n"/>
      <c r="N18" s="51" t="n"/>
      <c r="P18" s="51" t="n"/>
      <c r="Q18" s="51" t="n"/>
    </row>
    <row r="19">
      <c r="A19" s="53" t="inlineStr">
        <is>
          <t>Piekło mężczyzn</t>
        </is>
      </c>
      <c r="B19" s="42" t="n"/>
      <c r="D19" s="51" t="n"/>
      <c r="I19" s="51" t="n"/>
      <c r="J19" s="51" t="n"/>
      <c r="K19" s="51" t="n"/>
      <c r="N19" s="51" t="n"/>
      <c r="P19" s="51" t="n"/>
      <c r="Q19" s="51" t="n"/>
    </row>
    <row r="20">
      <c r="A20" s="43" t="inlineStr">
        <is>
          <t>nightcrawler</t>
        </is>
      </c>
      <c r="B20" s="50">
        <f>ROUND(AVERAGE($C20:$O20),2)</f>
        <v/>
      </c>
      <c r="C20" s="47" t="n">
        <v>8</v>
      </c>
      <c r="D20" s="48" t="n">
        <v>3</v>
      </c>
      <c r="E20" s="47" t="n">
        <v>8</v>
      </c>
      <c r="F20" s="47" t="n">
        <v>8</v>
      </c>
      <c r="G20" s="47" t="n">
        <v>7.5</v>
      </c>
      <c r="H20" s="47" t="n"/>
      <c r="I20" s="48" t="n"/>
      <c r="J20" s="48" t="n">
        <v>7</v>
      </c>
      <c r="K20" s="48" t="n"/>
      <c r="L20" s="47" t="n"/>
      <c r="M20" s="47" t="n"/>
      <c r="N20" s="48" t="n"/>
      <c r="O20" s="47" t="n">
        <v>7.5</v>
      </c>
      <c r="P20" s="48" t="n"/>
      <c r="Q20" s="51" t="n"/>
    </row>
    <row r="21">
      <c r="A21" s="43" t="inlineStr">
        <is>
          <t>manchester by the sea</t>
        </is>
      </c>
      <c r="B21" s="50">
        <f>ROUND(AVERAGE($C21:$O21),2)</f>
        <v/>
      </c>
      <c r="C21" s="47" t="n">
        <v>7</v>
      </c>
      <c r="D21" s="48" t="n">
        <v>7.5</v>
      </c>
      <c r="E21" s="47" t="n"/>
      <c r="F21" s="47" t="n">
        <v>7</v>
      </c>
      <c r="G21" s="47" t="n">
        <v>5.5</v>
      </c>
      <c r="H21" s="47" t="n"/>
      <c r="I21" s="48" t="n"/>
      <c r="J21" s="48" t="n">
        <v>9</v>
      </c>
      <c r="K21" s="48" t="n"/>
      <c r="L21" s="47" t="n"/>
      <c r="M21" s="47" t="n"/>
      <c r="N21" s="48" t="n">
        <v>8.5</v>
      </c>
      <c r="O21" s="47" t="n">
        <v>9</v>
      </c>
      <c r="P21" s="48" t="n"/>
      <c r="Q21" s="51" t="n"/>
    </row>
    <row r="22">
      <c r="B22" s="42" t="n"/>
      <c r="D22" s="51" t="n"/>
      <c r="I22" s="51" t="n"/>
      <c r="J22" s="51" t="n"/>
      <c r="K22" s="51" t="n"/>
      <c r="N22" s="51" t="n"/>
      <c r="P22" s="51" t="n"/>
      <c r="Q22" s="51" t="n"/>
    </row>
    <row r="23">
      <c r="A23" s="53" t="inlineStr">
        <is>
          <t>Horrory</t>
        </is>
      </c>
      <c r="B23" s="42" t="n"/>
      <c r="D23" s="51" t="n"/>
      <c r="I23" s="51" t="n"/>
      <c r="J23" s="51" t="n"/>
      <c r="K23" s="51" t="n"/>
      <c r="N23" s="51" t="n"/>
      <c r="P23" s="51" t="n"/>
      <c r="Q23" s="51" t="n"/>
    </row>
    <row r="24">
      <c r="A24" s="43" t="inlineStr">
        <is>
          <t>sacrifice game</t>
        </is>
      </c>
      <c r="B24" s="50">
        <f>ROUND(AVERAGE($C24:$P24),2)</f>
        <v/>
      </c>
      <c r="C24" s="47" t="n">
        <v>2</v>
      </c>
      <c r="D24" s="48" t="n">
        <v>4</v>
      </c>
      <c r="E24" s="47" t="n">
        <v>4</v>
      </c>
      <c r="F24" s="47" t="n"/>
      <c r="G24" s="47" t="n">
        <v>6</v>
      </c>
      <c r="H24" s="47" t="n">
        <v>3.5</v>
      </c>
      <c r="I24" s="48" t="n"/>
      <c r="J24" s="48" t="n">
        <v>2</v>
      </c>
      <c r="K24" s="48" t="n"/>
      <c r="L24" s="47" t="n"/>
      <c r="M24" s="47" t="n"/>
      <c r="N24" s="48" t="n"/>
      <c r="O24" s="47" t="n">
        <v>4</v>
      </c>
      <c r="P24" s="48" t="n">
        <v>2</v>
      </c>
      <c r="Q24" s="51" t="n"/>
    </row>
    <row r="25">
      <c r="A25" s="43" t="inlineStr">
        <is>
          <t>there's something in the barn</t>
        </is>
      </c>
      <c r="B25" s="50">
        <f>ROUND(AVERAGE($C25:$Q25),2)</f>
        <v/>
      </c>
      <c r="C25" s="47" t="n">
        <v>8</v>
      </c>
      <c r="D25" s="48" t="n">
        <v>2</v>
      </c>
      <c r="E25" s="47" t="n">
        <v>6</v>
      </c>
      <c r="F25" s="47" t="n">
        <v>2</v>
      </c>
      <c r="G25" s="47" t="n">
        <v>5</v>
      </c>
      <c r="H25" s="47" t="n">
        <v>7</v>
      </c>
      <c r="I25" s="48" t="n"/>
      <c r="J25" s="48" t="n">
        <v>3</v>
      </c>
      <c r="K25" s="48" t="n"/>
      <c r="L25" s="47" t="n">
        <v>7</v>
      </c>
      <c r="M25" s="47" t="n"/>
      <c r="N25" s="48" t="n"/>
      <c r="O25" s="47" t="n"/>
      <c r="P25" s="48" t="n">
        <v>1</v>
      </c>
      <c r="Q25" s="51" t="n"/>
    </row>
    <row r="26">
      <c r="A26" s="43" t="inlineStr">
        <is>
          <t>coś 2011</t>
        </is>
      </c>
      <c r="B26" s="50">
        <f>ROUND(AVERAGE($C26:$Q26),2)</f>
        <v/>
      </c>
      <c r="C26" s="47" t="n">
        <v>9</v>
      </c>
      <c r="D26" s="48" t="n">
        <v>7.5</v>
      </c>
      <c r="E26" s="47" t="n">
        <v>9</v>
      </c>
      <c r="F26" s="47" t="n">
        <v>4</v>
      </c>
      <c r="G26" s="47" t="n">
        <v>7</v>
      </c>
      <c r="H26" s="47" t="n">
        <v>10</v>
      </c>
      <c r="I26" s="48" t="n"/>
      <c r="J26" s="48" t="n"/>
      <c r="K26" s="48" t="n"/>
      <c r="L26" s="47" t="n">
        <v>8</v>
      </c>
      <c r="M26" s="47" t="n"/>
      <c r="N26" s="48" t="n"/>
      <c r="O26" s="47" t="n">
        <v>7</v>
      </c>
      <c r="P26" s="48" t="n">
        <v>8</v>
      </c>
      <c r="Q26" s="51" t="n"/>
    </row>
    <row r="27">
      <c r="A27" s="53" t="inlineStr">
        <is>
          <t>Tim Burton</t>
        </is>
      </c>
      <c r="B27" s="42" t="n"/>
      <c r="D27" s="51" t="n"/>
      <c r="I27" s="51" t="n"/>
      <c r="J27" s="51" t="n"/>
      <c r="K27" s="51" t="n"/>
      <c r="N27" s="51" t="n"/>
      <c r="P27" s="51" t="n"/>
      <c r="Q27" s="51" t="n"/>
    </row>
    <row r="28">
      <c r="A28" s="43" t="inlineStr">
        <is>
          <t>beetlejuice</t>
        </is>
      </c>
      <c r="B28" s="50">
        <f>ROUND(AVERAGE($C28:$Q28),2)</f>
        <v/>
      </c>
      <c r="C28" s="47" t="n">
        <v>2</v>
      </c>
      <c r="D28" s="48" t="n"/>
      <c r="E28" s="47" t="n"/>
      <c r="F28" s="47" t="n">
        <v>5</v>
      </c>
      <c r="G28" s="47" t="n">
        <v>7</v>
      </c>
      <c r="H28" s="47" t="n">
        <v>6</v>
      </c>
      <c r="I28" s="48" t="n"/>
      <c r="J28" s="48" t="n">
        <v>6</v>
      </c>
      <c r="K28" s="48" t="n">
        <v>8</v>
      </c>
      <c r="L28" s="47" t="n">
        <v>4</v>
      </c>
      <c r="M28" s="47" t="n"/>
      <c r="N28" s="48" t="n">
        <v>6</v>
      </c>
      <c r="O28" s="47" t="n">
        <v>6</v>
      </c>
      <c r="P28" s="48" t="n"/>
      <c r="Q28" s="51" t="n"/>
    </row>
    <row r="29">
      <c r="A29" s="43" t="inlineStr">
        <is>
          <t>corpse bride</t>
        </is>
      </c>
      <c r="B29" s="50">
        <f>ROUND(AVERAGE($C29:$Q29),2)</f>
        <v/>
      </c>
      <c r="C29" s="47" t="n">
        <v>7</v>
      </c>
      <c r="D29" s="48" t="n"/>
      <c r="E29" s="47" t="n">
        <v>7.5</v>
      </c>
      <c r="F29" s="47" t="n">
        <v>4</v>
      </c>
      <c r="G29" s="47" t="n">
        <v>10</v>
      </c>
      <c r="H29" s="47" t="n">
        <v>8</v>
      </c>
      <c r="I29" s="48" t="n"/>
      <c r="J29" s="48" t="n">
        <v>6.5</v>
      </c>
      <c r="K29" s="48" t="n">
        <v>8</v>
      </c>
      <c r="L29" s="47" t="n">
        <v>6</v>
      </c>
      <c r="M29" s="47" t="n"/>
      <c r="N29" s="48" t="n">
        <v>8.5</v>
      </c>
      <c r="O29" s="47" t="n">
        <v>7</v>
      </c>
      <c r="P29" s="48" t="n"/>
      <c r="Q29" s="51" t="n"/>
    </row>
    <row r="30">
      <c r="A30" s="43" t="inlineStr">
        <is>
          <t>alice in wonderland</t>
        </is>
      </c>
      <c r="B30" s="50">
        <f>ROUND(AVERAGE($C30:$Q30),2)</f>
        <v/>
      </c>
      <c r="C30" s="47" t="n">
        <v>5.5</v>
      </c>
      <c r="D30" s="48" t="n"/>
      <c r="E30" s="47" t="n">
        <v>5</v>
      </c>
      <c r="F30" s="47" t="n">
        <v>4</v>
      </c>
      <c r="G30" s="47" t="n">
        <v>8.5</v>
      </c>
      <c r="H30" s="47" t="n">
        <v>7</v>
      </c>
      <c r="I30" s="48" t="n"/>
      <c r="J30" s="48" t="n">
        <v>4</v>
      </c>
      <c r="K30" s="48" t="n">
        <v>8</v>
      </c>
      <c r="L30" s="47" t="n">
        <v>4</v>
      </c>
      <c r="M30" s="47" t="n"/>
      <c r="N30" s="48" t="n">
        <v>10</v>
      </c>
      <c r="O30" s="47" t="n">
        <v>5</v>
      </c>
      <c r="P30" s="48" t="n"/>
      <c r="Q30" s="51" t="n"/>
    </row>
    <row r="31">
      <c r="B31" s="52" t="n"/>
      <c r="D31" s="51" t="n"/>
      <c r="I31" s="51" t="n"/>
      <c r="J31" s="51" t="n"/>
      <c r="K31" s="51" t="n"/>
      <c r="N31" s="51" t="n"/>
      <c r="P31" s="51" t="n"/>
      <c r="Q31" s="51" t="n"/>
    </row>
    <row r="32">
      <c r="A32" s="53" t="inlineStr">
        <is>
          <t>Pojebane japońskie</t>
        </is>
      </c>
      <c r="B32" s="52" t="n"/>
      <c r="D32" s="51" t="n"/>
      <c r="I32" s="51" t="n"/>
      <c r="J32" s="51" t="n"/>
      <c r="K32" s="51" t="n"/>
      <c r="N32" s="51" t="n"/>
      <c r="P32" s="51" t="n"/>
      <c r="Q32" s="51" t="n"/>
    </row>
    <row r="33">
      <c r="A33" s="43" t="inlineStr">
        <is>
          <t>Confessions</t>
        </is>
      </c>
      <c r="B33" s="50">
        <f>ROUND(AVERAGE(C33:P33),2)</f>
        <v/>
      </c>
      <c r="C33" s="47" t="n">
        <v>10</v>
      </c>
      <c r="D33" s="48" t="n"/>
      <c r="E33" s="47" t="n">
        <v>9</v>
      </c>
      <c r="F33" s="47" t="n">
        <v>9</v>
      </c>
      <c r="G33" s="47" t="n"/>
      <c r="H33" s="47" t="n"/>
      <c r="I33" s="48" t="n"/>
      <c r="J33" s="48" t="n">
        <v>7</v>
      </c>
      <c r="K33" s="48" t="n"/>
      <c r="L33" s="47" t="n"/>
      <c r="M33" s="47" t="n"/>
      <c r="N33" s="48" t="n"/>
      <c r="O33" s="47" t="n"/>
      <c r="P33" s="48" t="n"/>
      <c r="Q33" s="51" t="n"/>
    </row>
    <row r="34">
      <c r="A34" s="43" t="inlineStr">
        <is>
          <t>Why Don't You Play in Hell</t>
        </is>
      </c>
      <c r="B34" s="50">
        <f>ROUND(AVERAGE(C34:P34),2)</f>
        <v/>
      </c>
      <c r="C34" s="47" t="n">
        <v>9</v>
      </c>
      <c r="D34" s="48" t="n"/>
      <c r="E34" s="47" t="n">
        <v>7</v>
      </c>
      <c r="F34" s="47" t="n">
        <v>10</v>
      </c>
      <c r="G34" s="47" t="n"/>
      <c r="H34" s="47" t="n"/>
      <c r="I34" s="48" t="n"/>
      <c r="J34" s="48" t="n">
        <v>9</v>
      </c>
      <c r="K34" s="48" t="n"/>
      <c r="L34" s="47" t="n">
        <v>8</v>
      </c>
      <c r="M34" s="47" t="n"/>
      <c r="N34" s="48" t="n"/>
      <c r="O34" s="47" t="n"/>
      <c r="P34" s="48" t="n"/>
      <c r="Q34" s="51" t="n"/>
    </row>
    <row r="35">
      <c r="A35" s="53" t="inlineStr">
        <is>
          <t>Piekło kobiet</t>
        </is>
      </c>
      <c r="B35" s="52" t="n"/>
      <c r="D35" s="51" t="n"/>
      <c r="I35" s="51" t="n"/>
      <c r="J35" s="51" t="n"/>
      <c r="K35" s="51" t="n"/>
      <c r="N35" s="51" t="n"/>
      <c r="P35" s="51" t="n"/>
      <c r="Q35" s="51" t="n"/>
    </row>
    <row r="36">
      <c r="A36" s="43" t="inlineStr">
        <is>
          <t>Three billboards outside Ebbing, Missouri</t>
        </is>
      </c>
      <c r="B36" s="50">
        <f>AVERAGE(C36:P36)</f>
        <v/>
      </c>
      <c r="C36" s="47" t="n">
        <v>8</v>
      </c>
      <c r="D36" s="48" t="n"/>
      <c r="E36" s="47" t="n">
        <v>7</v>
      </c>
      <c r="F36" s="47" t="n">
        <v>8</v>
      </c>
      <c r="G36" s="47" t="n"/>
      <c r="H36" s="47" t="n"/>
      <c r="I36" s="48" t="n"/>
      <c r="J36" s="48" t="n">
        <v>9</v>
      </c>
      <c r="K36" s="48" t="n"/>
      <c r="L36" s="47" t="n">
        <v>7</v>
      </c>
      <c r="M36" s="47" t="n"/>
      <c r="N36" s="48" t="n"/>
      <c r="O36" s="47" t="n">
        <v>9</v>
      </c>
      <c r="P36" s="48" t="n"/>
      <c r="Q36" s="51" t="n"/>
    </row>
    <row r="37">
      <c r="A37" s="43" t="inlineStr">
        <is>
          <t>Lady Bird</t>
        </is>
      </c>
      <c r="B37" s="50">
        <f>AVERAGE(C37:P37)</f>
        <v/>
      </c>
      <c r="C37" s="47" t="n">
        <v>7</v>
      </c>
      <c r="D37" s="48" t="n"/>
      <c r="E37" s="47" t="n">
        <v>5</v>
      </c>
      <c r="F37" s="47" t="n">
        <v>8</v>
      </c>
      <c r="G37" s="47" t="n"/>
      <c r="H37" s="47" t="n"/>
      <c r="I37" s="48" t="n"/>
      <c r="J37" s="48" t="n">
        <v>7</v>
      </c>
      <c r="K37" s="48" t="n"/>
      <c r="L37" s="47" t="n">
        <v>3</v>
      </c>
      <c r="M37" s="47" t="n"/>
      <c r="N37" s="48" t="n"/>
      <c r="O37" s="47" t="n">
        <v>7.5</v>
      </c>
      <c r="P37" s="48" t="n"/>
      <c r="Q37" s="51" t="n"/>
    </row>
    <row r="38">
      <c r="A38" s="53" t="inlineStr">
        <is>
          <t>Anime filmy</t>
        </is>
      </c>
      <c r="B38" s="52" t="n"/>
      <c r="D38" s="51" t="n"/>
      <c r="I38" s="51" t="n"/>
      <c r="J38" s="51" t="n"/>
      <c r="K38" s="51" t="n"/>
      <c r="N38" s="51" t="n"/>
      <c r="P38" s="51" t="n"/>
      <c r="Q38" s="51" t="n"/>
    </row>
    <row r="39">
      <c r="A39" s="43" t="inlineStr">
        <is>
          <t>Kimi no na wa</t>
        </is>
      </c>
      <c r="B39" s="50">
        <f>AVERAGE(C39:O39)</f>
        <v/>
      </c>
      <c r="C39" s="47" t="n">
        <v>7</v>
      </c>
      <c r="D39" s="48" t="n"/>
      <c r="E39" s="47" t="n">
        <v>8</v>
      </c>
      <c r="F39" s="47" t="n">
        <v>8</v>
      </c>
      <c r="G39" s="47" t="n">
        <v>9</v>
      </c>
      <c r="H39" s="47" t="n">
        <v>8</v>
      </c>
      <c r="I39" s="48" t="n"/>
      <c r="J39" s="48" t="n">
        <v>6</v>
      </c>
      <c r="K39" s="48" t="n"/>
      <c r="L39" s="47" t="n">
        <v>9</v>
      </c>
      <c r="M39" s="47" t="n"/>
      <c r="N39" s="48" t="n"/>
      <c r="O39" s="47" t="n">
        <v>8</v>
      </c>
      <c r="P39" s="48" t="n"/>
      <c r="Q39" s="51" t="n"/>
    </row>
    <row r="40">
      <c r="A40" s="43" t="inlineStr">
        <is>
          <t>Major Movie: Yuujou no Winning Shot</t>
        </is>
      </c>
      <c r="B40" s="50">
        <f>AVERAGE(C40:O40)</f>
        <v/>
      </c>
      <c r="C40" s="47" t="n">
        <v>8</v>
      </c>
      <c r="D40" s="48" t="n"/>
      <c r="E40" s="47" t="n">
        <v>7</v>
      </c>
      <c r="F40" s="47" t="n">
        <v>7</v>
      </c>
      <c r="G40" s="47" t="n">
        <v>6</v>
      </c>
      <c r="H40" s="47" t="n">
        <v>6</v>
      </c>
      <c r="I40" s="48" t="n"/>
      <c r="J40" s="48" t="n">
        <v>8</v>
      </c>
      <c r="K40" s="48" t="n"/>
      <c r="L40" s="47" t="n">
        <v>5.5</v>
      </c>
      <c r="M40" s="47" t="n"/>
      <c r="N40" s="48" t="n"/>
      <c r="O40" s="47" t="n">
        <v>8</v>
      </c>
      <c r="P40" s="48" t="n"/>
      <c r="Q40" s="51" t="n"/>
    </row>
    <row r="41">
      <c r="A41" s="53" t="inlineStr">
        <is>
          <t>Piekło wieku średniego</t>
        </is>
      </c>
      <c r="B41" s="52" t="n"/>
      <c r="D41" s="51" t="n"/>
      <c r="I41" s="51" t="n"/>
      <c r="J41" s="51" t="n"/>
      <c r="K41" s="51" t="n"/>
      <c r="N41" s="51" t="n"/>
      <c r="P41" s="51" t="n"/>
      <c r="Q41" s="51" t="n"/>
    </row>
    <row r="42">
      <c r="A42" s="43" t="inlineStr">
        <is>
          <t>Birdman</t>
        </is>
      </c>
      <c r="B42" s="50">
        <f>AVERAGE(C42:O42)</f>
        <v/>
      </c>
      <c r="C42" s="47" t="n">
        <v>7</v>
      </c>
      <c r="D42" s="48" t="n"/>
      <c r="E42" s="47" t="n">
        <v>7</v>
      </c>
      <c r="F42" s="47" t="n">
        <v>7</v>
      </c>
      <c r="G42" s="47" t="n">
        <v>6.5</v>
      </c>
      <c r="H42" s="47" t="n">
        <v>8</v>
      </c>
      <c r="I42" s="48" t="n"/>
      <c r="J42" s="48" t="n">
        <v>7</v>
      </c>
      <c r="K42" s="48" t="n"/>
      <c r="L42" s="47" t="n">
        <v>7</v>
      </c>
      <c r="M42" s="47" t="n"/>
      <c r="N42" s="48" t="n"/>
      <c r="O42" s="47" t="n">
        <v>8</v>
      </c>
      <c r="P42" s="48" t="n"/>
      <c r="Q42" s="51" t="n"/>
    </row>
    <row r="43">
      <c r="A43" s="43" t="inlineStr">
        <is>
          <t>American Beauty</t>
        </is>
      </c>
      <c r="B43" s="50">
        <f>AVERAGE(C43:P43)</f>
        <v/>
      </c>
      <c r="C43" s="47" t="n">
        <v>8</v>
      </c>
      <c r="D43" s="48" t="n"/>
      <c r="E43" s="47" t="n">
        <v>10</v>
      </c>
      <c r="F43" s="47" t="n">
        <v>8</v>
      </c>
      <c r="G43" s="47" t="n">
        <v>8</v>
      </c>
      <c r="H43" s="47" t="n">
        <v>6.5</v>
      </c>
      <c r="I43" s="48" t="n"/>
      <c r="J43" s="48" t="n">
        <v>9</v>
      </c>
      <c r="K43" s="48" t="n"/>
      <c r="L43" s="47" t="n">
        <v>7</v>
      </c>
      <c r="M43" s="47" t="n"/>
      <c r="N43" s="48" t="n"/>
      <c r="O43" s="47" t="n">
        <v>9</v>
      </c>
      <c r="P43" s="48" t="n"/>
      <c r="Q43" s="51" t="n"/>
    </row>
    <row r="44">
      <c r="A44" s="53" t="inlineStr">
        <is>
          <t>Utopia Mężczyzn</t>
        </is>
      </c>
      <c r="B44" s="52" t="n"/>
      <c r="D44" s="51" t="n"/>
      <c r="I44" s="51" t="n"/>
      <c r="J44" s="51" t="n"/>
      <c r="K44" s="51" t="n"/>
      <c r="N44" s="51" t="n"/>
      <c r="P44" s="51" t="n"/>
      <c r="Q44" s="51" t="n"/>
    </row>
    <row r="45">
      <c r="A45" s="43" t="inlineStr">
        <is>
          <t>17 again</t>
        </is>
      </c>
      <c r="B45" s="50">
        <f>AVERAGE(C45:P45)</f>
        <v/>
      </c>
      <c r="C45" s="56" t="n">
        <v>6</v>
      </c>
      <c r="D45" s="57" t="n"/>
      <c r="E45" s="56" t="n">
        <v>7.5</v>
      </c>
      <c r="F45" s="56" t="n">
        <v>4</v>
      </c>
      <c r="G45" s="56" t="n"/>
      <c r="H45" s="56" t="n"/>
      <c r="I45" s="57" t="n"/>
      <c r="J45" s="57" t="n">
        <v>6</v>
      </c>
      <c r="K45" s="57" t="n"/>
      <c r="L45" s="56" t="n"/>
      <c r="M45" s="56" t="n"/>
      <c r="N45" s="57" t="n"/>
      <c r="O45" s="56" t="n">
        <v>6.5</v>
      </c>
      <c r="P45" s="57" t="n"/>
      <c r="Q45" s="51" t="n"/>
    </row>
    <row r="46">
      <c r="A46" s="43" t="inlineStr">
        <is>
          <t>hidamari no kanojo</t>
        </is>
      </c>
      <c r="B46" s="50">
        <f>AVERAGE(C46:P46)</f>
        <v/>
      </c>
      <c r="C46" s="56" t="n">
        <v>7.5</v>
      </c>
      <c r="D46" s="57" t="n"/>
      <c r="E46" s="56" t="n">
        <v>9</v>
      </c>
      <c r="F46" s="56" t="n">
        <v>7</v>
      </c>
      <c r="G46" s="56" t="n">
        <v>9</v>
      </c>
      <c r="H46" s="56" t="n"/>
      <c r="I46" s="57" t="n"/>
      <c r="J46" s="57" t="n">
        <v>8</v>
      </c>
      <c r="K46" s="57" t="n"/>
      <c r="L46" s="56" t="n">
        <v>7</v>
      </c>
      <c r="M46" s="56" t="n"/>
      <c r="N46" s="57" t="n"/>
      <c r="O46" s="56" t="n">
        <v>7</v>
      </c>
      <c r="P46" s="57" t="n"/>
      <c r="Q46" s="51" t="n"/>
    </row>
    <row r="47">
      <c r="A47" s="53" t="inlineStr">
        <is>
          <t>Narnia</t>
        </is>
      </c>
      <c r="B47" s="52" t="n"/>
      <c r="D47" s="51" t="n"/>
      <c r="I47" s="51" t="n"/>
      <c r="J47" s="51" t="n"/>
      <c r="K47" s="51" t="n"/>
      <c r="N47" s="51" t="n"/>
      <c r="P47" s="51" t="n"/>
      <c r="Q47" s="51" t="n"/>
    </row>
    <row r="48">
      <c r="A48" s="43" t="inlineStr">
        <is>
          <t>narnia1</t>
        </is>
      </c>
      <c r="B48" s="50">
        <f>AVERAGE(C48:P48)</f>
        <v/>
      </c>
      <c r="C48" s="56" t="n">
        <v>7</v>
      </c>
      <c r="D48" s="57" t="n"/>
      <c r="E48" s="56" t="n"/>
      <c r="F48" s="56" t="n"/>
      <c r="G48" s="56" t="n"/>
      <c r="H48" s="56" t="n"/>
      <c r="I48" s="57" t="n"/>
      <c r="J48" s="57" t="n">
        <v>6</v>
      </c>
      <c r="K48" s="57" t="n"/>
      <c r="L48" s="56" t="n">
        <v>6</v>
      </c>
      <c r="M48" s="56" t="n"/>
      <c r="N48" s="57" t="n"/>
      <c r="O48" s="56" t="n"/>
      <c r="P48" s="57" t="n"/>
      <c r="Q48" s="51" t="n"/>
    </row>
    <row r="49">
      <c r="A49" s="43" t="inlineStr">
        <is>
          <t>narnia2</t>
        </is>
      </c>
      <c r="B49" s="50">
        <f>AVERAGE(C49:P49)</f>
        <v/>
      </c>
      <c r="C49" s="56" t="n">
        <v>7</v>
      </c>
      <c r="D49" s="57" t="n"/>
      <c r="E49" s="56" t="n"/>
      <c r="F49" s="56" t="n"/>
      <c r="G49" s="56" t="n">
        <v>8</v>
      </c>
      <c r="H49" s="56" t="n">
        <v>8.5</v>
      </c>
      <c r="I49" s="57" t="n"/>
      <c r="J49" s="57" t="n">
        <v>6</v>
      </c>
      <c r="K49" s="57" t="n"/>
      <c r="L49" s="56" t="n">
        <v>7</v>
      </c>
      <c r="M49" s="56" t="n"/>
      <c r="N49" s="57" t="n"/>
      <c r="O49" s="56" t="n"/>
      <c r="P49" s="57" t="n"/>
      <c r="Q49" s="51" t="n"/>
    </row>
    <row r="50">
      <c r="A50" s="53" t="inlineStr">
        <is>
          <t>Polskie</t>
        </is>
      </c>
      <c r="B50" s="52" t="n"/>
      <c r="D50" s="51" t="n"/>
      <c r="I50" s="51" t="n"/>
      <c r="J50" s="51" t="n"/>
      <c r="K50" s="51" t="n"/>
      <c r="N50" s="51" t="n"/>
      <c r="P50" s="51" t="n"/>
      <c r="Q50" s="51" t="n"/>
    </row>
    <row r="51">
      <c r="A51" s="43" t="inlineStr">
        <is>
          <t>EO</t>
        </is>
      </c>
      <c r="B51" s="50">
        <f>AVERAGE(C51:P51)</f>
        <v/>
      </c>
      <c r="C51" s="56" t="n">
        <v>2</v>
      </c>
      <c r="D51" s="57" t="n"/>
      <c r="E51" s="56" t="n"/>
      <c r="F51" s="56" t="n">
        <v>3</v>
      </c>
      <c r="G51" s="56" t="n"/>
      <c r="H51" s="56" t="n"/>
      <c r="I51" s="57" t="n"/>
      <c r="J51" s="57" t="n">
        <v>2</v>
      </c>
      <c r="K51" s="57" t="n"/>
      <c r="L51" s="56" t="n">
        <v>2</v>
      </c>
      <c r="M51" s="56" t="n"/>
      <c r="N51" s="57" t="n"/>
      <c r="O51" s="56" t="n">
        <v>4</v>
      </c>
      <c r="P51" s="57" t="n">
        <v>3</v>
      </c>
      <c r="Q51" s="51" t="n"/>
    </row>
    <row r="52">
      <c r="A52" s="43" t="inlineStr">
        <is>
          <t>The Lure</t>
        </is>
      </c>
      <c r="B52" s="50">
        <f>AVERAGE(C52:P52)</f>
        <v/>
      </c>
      <c r="C52" s="56" t="n">
        <v>7</v>
      </c>
      <c r="D52" s="57" t="n"/>
      <c r="E52" s="56" t="n"/>
      <c r="F52" s="56" t="n">
        <v>4</v>
      </c>
      <c r="G52" s="56" t="n"/>
      <c r="H52" s="56" t="n"/>
      <c r="I52" s="57" t="n"/>
      <c r="J52" s="57" t="n">
        <v>5</v>
      </c>
      <c r="K52" s="57" t="n"/>
      <c r="L52" s="56" t="n">
        <v>4</v>
      </c>
      <c r="M52" s="56" t="n"/>
      <c r="N52" s="57" t="n"/>
      <c r="O52" s="56" t="n">
        <v>8</v>
      </c>
      <c r="P52" s="57" t="n">
        <v>6</v>
      </c>
      <c r="Q52" s="51" t="n"/>
    </row>
    <row r="53">
      <c r="A53" s="53" t="inlineStr">
        <is>
          <t>Neil Gaiman</t>
        </is>
      </c>
      <c r="B53" s="52" t="n"/>
      <c r="D53" s="51" t="n"/>
      <c r="I53" s="51" t="n"/>
      <c r="J53" s="51" t="n"/>
      <c r="K53" s="51" t="n"/>
      <c r="N53" s="51" t="n"/>
      <c r="P53" s="51" t="n"/>
      <c r="Q53" s="51" t="n"/>
    </row>
    <row r="54">
      <c r="A54" s="43" t="inlineStr">
        <is>
          <t>Stardust</t>
        </is>
      </c>
      <c r="B54" s="50">
        <f>AVERAGE(C54:P54)</f>
        <v/>
      </c>
      <c r="C54" s="56" t="n">
        <v>6</v>
      </c>
      <c r="D54" s="57" t="n"/>
      <c r="E54" s="56" t="n"/>
      <c r="F54" s="56" t="n">
        <v>4</v>
      </c>
      <c r="G54" s="56" t="n"/>
      <c r="H54" s="56" t="n">
        <v>6.5</v>
      </c>
      <c r="I54" s="57" t="n"/>
      <c r="J54" s="57" t="n">
        <v>6</v>
      </c>
      <c r="K54" s="57" t="n"/>
      <c r="L54" s="56" t="n">
        <v>4</v>
      </c>
      <c r="M54" s="56" t="n"/>
      <c r="N54" s="57" t="n">
        <v>10</v>
      </c>
      <c r="O54" s="56" t="n">
        <v>6</v>
      </c>
      <c r="P54" s="57" t="n"/>
      <c r="Q54" s="51" t="n"/>
    </row>
    <row r="55">
      <c r="A55" s="43" t="inlineStr">
        <is>
          <t>Coraline</t>
        </is>
      </c>
      <c r="B55" s="50">
        <f>AVERAGE(C55:P55)</f>
        <v/>
      </c>
      <c r="C55" s="56" t="n">
        <v>9</v>
      </c>
      <c r="D55" s="57" t="n"/>
      <c r="E55" s="56" t="n"/>
      <c r="F55" s="56" t="n">
        <v>8</v>
      </c>
      <c r="G55" s="56" t="n">
        <v>10</v>
      </c>
      <c r="H55" s="56" t="n">
        <v>8</v>
      </c>
      <c r="I55" s="57" t="n"/>
      <c r="J55" s="57" t="n">
        <v>8</v>
      </c>
      <c r="K55" s="57" t="n"/>
      <c r="L55" s="56" t="n">
        <v>8</v>
      </c>
      <c r="M55" s="56" t="n">
        <v>9.5</v>
      </c>
      <c r="N55" s="57" t="n">
        <v>10</v>
      </c>
      <c r="O55" s="56" t="n">
        <v>7.5</v>
      </c>
      <c r="P55" s="57" t="n"/>
      <c r="Q55" s="51" t="n"/>
    </row>
    <row r="56">
      <c r="A56" s="53" t="inlineStr">
        <is>
          <t>Stary Szef</t>
        </is>
      </c>
      <c r="B56" s="58" t="n"/>
      <c r="D56" s="51" t="n"/>
      <c r="I56" s="51" t="n"/>
      <c r="J56" s="51" t="n"/>
      <c r="K56" s="51" t="n"/>
      <c r="N56" s="51" t="n"/>
      <c r="P56" s="51" t="n"/>
      <c r="Q56" s="51" t="n"/>
    </row>
    <row r="57">
      <c r="A57" s="46" t="inlineStr">
        <is>
          <t>Bucket List</t>
        </is>
      </c>
      <c r="B57" s="50">
        <f>AVERAGE(C57:Q57)</f>
        <v/>
      </c>
      <c r="C57" s="56" t="n">
        <v>7</v>
      </c>
      <c r="D57" s="57" t="n"/>
      <c r="E57" s="56" t="n">
        <v>8</v>
      </c>
      <c r="F57" s="56" t="n"/>
      <c r="G57" s="56" t="n"/>
      <c r="H57" s="56" t="n">
        <v>7</v>
      </c>
      <c r="I57" s="57" t="n"/>
      <c r="J57" s="57" t="n">
        <v>6</v>
      </c>
      <c r="K57" s="57" t="n"/>
      <c r="L57" s="56" t="n">
        <v>7</v>
      </c>
      <c r="M57" s="56" t="n"/>
      <c r="N57" s="57" t="n"/>
      <c r="O57" s="56" t="n"/>
      <c r="P57" s="57" t="n"/>
      <c r="Q57" s="57" t="n">
        <v>7</v>
      </c>
      <c r="R57" s="56" t="n"/>
    </row>
    <row r="58">
      <c r="A58" s="46" t="inlineStr">
        <is>
          <t>Gran Torino</t>
        </is>
      </c>
      <c r="B58" s="50">
        <f>AVERAGE(C58:Q58)</f>
        <v/>
      </c>
      <c r="C58" s="56" t="n">
        <v>10</v>
      </c>
      <c r="D58" s="57" t="n"/>
      <c r="E58" s="56" t="n">
        <v>9</v>
      </c>
      <c r="F58" s="56" t="n"/>
      <c r="G58" s="56" t="n"/>
      <c r="H58" s="56" t="n">
        <v>4</v>
      </c>
      <c r="I58" s="57" t="n"/>
      <c r="J58" s="57" t="n">
        <v>9.5</v>
      </c>
      <c r="K58" s="57" t="n"/>
      <c r="L58" s="56" t="n">
        <v>5</v>
      </c>
      <c r="M58" s="56" t="n"/>
      <c r="N58" s="57" t="n"/>
      <c r="O58" s="56" t="n">
        <v>9</v>
      </c>
      <c r="P58" s="57" t="n"/>
      <c r="Q58" s="57" t="n">
        <v>9</v>
      </c>
      <c r="R58" s="56" t="n"/>
    </row>
    <row r="59">
      <c r="A59" s="53" t="inlineStr">
        <is>
          <t>TikTok Filmy</t>
        </is>
      </c>
      <c r="B59" s="58" t="n"/>
      <c r="D59" s="51" t="n"/>
      <c r="I59" s="51" t="n"/>
      <c r="J59" s="51" t="n"/>
      <c r="K59" s="51" t="n"/>
      <c r="N59" s="51" t="n"/>
      <c r="P59" s="51" t="n"/>
      <c r="Q59" s="51" t="n"/>
    </row>
    <row r="60">
      <c r="A60" s="46" t="inlineStr">
        <is>
          <t>Lux Æterna</t>
        </is>
      </c>
      <c r="B60" s="50">
        <f>AVERAGE(C60:Q60)</f>
        <v/>
      </c>
      <c r="C60" s="56" t="n">
        <v>1</v>
      </c>
      <c r="D60" s="57" t="n"/>
      <c r="E60" s="56" t="n"/>
      <c r="F60" s="56" t="n"/>
      <c r="G60" s="56" t="n"/>
      <c r="H60" s="56" t="n">
        <v>1</v>
      </c>
      <c r="I60" s="57" t="n"/>
      <c r="J60" s="57" t="n">
        <v>1</v>
      </c>
      <c r="K60" s="57" t="n"/>
      <c r="L60" s="56" t="n">
        <v>1</v>
      </c>
      <c r="M60" s="56" t="n"/>
      <c r="N60" s="57" t="n"/>
      <c r="O60" s="56" t="n">
        <v>5</v>
      </c>
      <c r="P60" s="57" t="n"/>
      <c r="Q60" s="57" t="n"/>
      <c r="R60" s="56" t="n"/>
    </row>
    <row r="61">
      <c r="A61" s="46" t="inlineStr">
        <is>
          <t>My Dinner with Andre</t>
        </is>
      </c>
      <c r="B61" s="50">
        <f>AVERAGE(C61:Q61)</f>
        <v/>
      </c>
      <c r="C61" s="56" t="n">
        <v>3</v>
      </c>
      <c r="D61" s="57" t="n"/>
      <c r="E61" s="56" t="n">
        <v>3</v>
      </c>
      <c r="F61" s="56" t="n"/>
      <c r="G61" s="56" t="n"/>
      <c r="H61" s="56" t="n">
        <v>3</v>
      </c>
      <c r="I61" s="57" t="n"/>
      <c r="J61" s="57" t="n">
        <v>5</v>
      </c>
      <c r="K61" s="57" t="n"/>
      <c r="L61" s="56" t="n">
        <v>10</v>
      </c>
      <c r="M61" s="56" t="n"/>
      <c r="N61" s="57" t="n"/>
      <c r="O61" s="56" t="n">
        <v>9</v>
      </c>
      <c r="P61" s="57" t="n"/>
      <c r="Q61" s="57" t="n"/>
      <c r="R61" s="56" t="n"/>
    </row>
    <row r="62">
      <c r="A62" s="53" t="inlineStr">
        <is>
          <t>Fantasy</t>
        </is>
      </c>
      <c r="B62" s="58" t="n"/>
      <c r="D62" s="51" t="n"/>
      <c r="I62" s="51" t="n"/>
      <c r="J62" s="51" t="n"/>
      <c r="K62" s="51" t="n"/>
      <c r="N62" s="51" t="n"/>
      <c r="P62" s="51" t="n"/>
      <c r="Q62" s="51" t="n"/>
    </row>
    <row r="63">
      <c r="A63" s="46" t="inlineStr">
        <is>
          <t>Eragon</t>
        </is>
      </c>
      <c r="B63" s="50">
        <f>AVERAGE(C63:Q63)</f>
        <v/>
      </c>
      <c r="C63" s="56" t="n">
        <v>5</v>
      </c>
      <c r="D63" s="57" t="n"/>
      <c r="E63" s="56" t="n"/>
      <c r="F63" s="56" t="n">
        <v>3</v>
      </c>
      <c r="G63" s="56" t="n"/>
      <c r="H63" s="56" t="n">
        <v>6</v>
      </c>
      <c r="I63" s="57" t="n"/>
      <c r="J63" s="57" t="n">
        <v>5</v>
      </c>
      <c r="K63" s="57" t="n"/>
      <c r="L63" s="56" t="n">
        <v>4</v>
      </c>
      <c r="M63" s="56" t="n"/>
      <c r="N63" s="57" t="n"/>
      <c r="O63" s="56" t="n"/>
      <c r="P63" s="57" t="n"/>
      <c r="Q63" s="57" t="n">
        <v>3</v>
      </c>
      <c r="R63" s="56" t="n"/>
    </row>
    <row r="64">
      <c r="A64" s="46" t="inlineStr">
        <is>
          <t>Most do Terabithii</t>
        </is>
      </c>
      <c r="B64" s="50">
        <f>AVERAGE(C64:Q64)</f>
        <v/>
      </c>
      <c r="C64" s="56" t="n">
        <v>8</v>
      </c>
      <c r="D64" s="57" t="n"/>
      <c r="E64" s="56" t="n"/>
      <c r="F64" s="56" t="n">
        <v>6</v>
      </c>
      <c r="G64" s="56" t="n">
        <v>7.5</v>
      </c>
      <c r="H64" s="56" t="n">
        <v>10</v>
      </c>
      <c r="I64" s="57" t="n"/>
      <c r="J64" s="57" t="n">
        <v>5</v>
      </c>
      <c r="K64" s="57" t="n"/>
      <c r="L64" s="56" t="n">
        <v>7</v>
      </c>
      <c r="M64" s="56" t="n"/>
      <c r="N64" s="57" t="n"/>
      <c r="O64" s="56" t="n"/>
      <c r="P64" s="57" t="n"/>
      <c r="Q64" s="57" t="n">
        <v>5</v>
      </c>
      <c r="R64" s="56" t="n"/>
    </row>
    <row r="65">
      <c r="A65" s="53" t="inlineStr">
        <is>
          <t>Scenariusz Taktyczny</t>
        </is>
      </c>
      <c r="B65" s="58" t="n"/>
      <c r="D65" s="51" t="n"/>
      <c r="I65" s="51" t="n"/>
      <c r="J65" s="51" t="n"/>
      <c r="K65" s="51" t="n"/>
      <c r="N65" s="51" t="n"/>
      <c r="P65" s="51" t="n"/>
      <c r="Q65" s="51" t="n"/>
    </row>
    <row r="66">
      <c r="A66" s="46" t="inlineStr">
        <is>
          <t>Snatch</t>
        </is>
      </c>
      <c r="B66" s="50">
        <f>AVERAGE(C66:Q66)</f>
        <v/>
      </c>
      <c r="C66" s="56" t="n">
        <v>5</v>
      </c>
      <c r="D66" s="57" t="n"/>
      <c r="E66" s="56" t="n">
        <v>6</v>
      </c>
      <c r="F66" s="56" t="n">
        <v>9</v>
      </c>
      <c r="G66" s="56" t="n">
        <v>5</v>
      </c>
      <c r="H66" s="56" t="n">
        <v>7</v>
      </c>
      <c r="I66" s="57" t="n"/>
      <c r="J66" s="57" t="n">
        <v>5</v>
      </c>
      <c r="K66" s="57" t="n"/>
      <c r="L66" s="56" t="n"/>
      <c r="M66" s="56" t="n"/>
      <c r="N66" s="57" t="n"/>
      <c r="O66" s="56" t="n"/>
      <c r="P66" s="57" t="n"/>
      <c r="Q66" s="57" t="n">
        <v>7</v>
      </c>
      <c r="R66" s="56" t="n"/>
    </row>
    <row r="67">
      <c r="A67" s="46" t="inlineStr">
        <is>
          <t>Hatsukoi</t>
        </is>
      </c>
      <c r="B67" s="50">
        <f>AVERAGE(C67:Q67)</f>
        <v/>
      </c>
      <c r="C67" s="56" t="n">
        <v>7</v>
      </c>
      <c r="D67" s="57" t="n"/>
      <c r="E67" s="56" t="n">
        <v>7.5</v>
      </c>
      <c r="F67" s="56" t="n">
        <v>9</v>
      </c>
      <c r="G67" s="56" t="n">
        <v>5</v>
      </c>
      <c r="H67" s="56" t="n">
        <v>6.5</v>
      </c>
      <c r="I67" s="57" t="n"/>
      <c r="J67" s="57" t="n">
        <v>4</v>
      </c>
      <c r="K67" s="57" t="n"/>
      <c r="L67" s="56" t="n"/>
      <c r="M67" s="56" t="n"/>
      <c r="N67" s="57" t="n"/>
      <c r="O67" s="56" t="n"/>
      <c r="P67" s="57" t="n"/>
      <c r="Q67" s="57" t="n">
        <v>5</v>
      </c>
      <c r="R67" s="56" t="n"/>
    </row>
    <row r="68">
      <c r="A68" s="53" t="inlineStr">
        <is>
          <t>Gwiezdne</t>
        </is>
      </c>
      <c r="B68" s="59" t="n"/>
      <c r="D68" s="51" t="n"/>
      <c r="I68" s="51" t="n"/>
      <c r="J68" s="51" t="n"/>
      <c r="K68" s="51" t="n"/>
      <c r="N68" s="51" t="n"/>
      <c r="P68" s="51" t="n"/>
      <c r="Q68" s="51" t="n"/>
    </row>
    <row r="69">
      <c r="A69" s="46" t="inlineStr">
        <is>
          <t>Starship troopers</t>
        </is>
      </c>
      <c r="B69" s="50">
        <f>AVERAGE(C69:R69)</f>
        <v/>
      </c>
      <c r="C69" s="56" t="n">
        <v>10</v>
      </c>
      <c r="D69" s="57" t="n"/>
      <c r="E69" s="56" t="n"/>
      <c r="F69" s="56" t="n">
        <v>7</v>
      </c>
      <c r="G69" s="56" t="n">
        <v>6</v>
      </c>
      <c r="H69" s="56" t="n">
        <v>6.5</v>
      </c>
      <c r="I69" s="57" t="n"/>
      <c r="J69" s="57" t="n">
        <v>7</v>
      </c>
      <c r="K69" s="57" t="n"/>
      <c r="L69" s="56" t="n">
        <v>8</v>
      </c>
      <c r="M69" s="56" t="n"/>
      <c r="N69" s="57" t="n"/>
      <c r="O69" s="56" t="n">
        <v>7</v>
      </c>
      <c r="P69" s="57" t="n"/>
      <c r="Q69" s="57" t="n"/>
      <c r="R69" s="56" t="n"/>
    </row>
    <row r="70">
      <c r="A70" s="46" t="inlineStr">
        <is>
          <t>Stargate</t>
        </is>
      </c>
      <c r="B70" s="50">
        <f>AVERAGE(C70:R70)</f>
        <v/>
      </c>
      <c r="C70" s="56" t="n">
        <v>8</v>
      </c>
      <c r="D70" s="57" t="n"/>
      <c r="E70" s="56" t="n"/>
      <c r="F70" s="56" t="n">
        <v>6</v>
      </c>
      <c r="G70" s="56" t="n">
        <v>7.5</v>
      </c>
      <c r="H70" s="56" t="n">
        <v>7</v>
      </c>
      <c r="I70" s="57" t="n"/>
      <c r="J70" s="57" t="n">
        <v>5</v>
      </c>
      <c r="K70" s="57" t="n"/>
      <c r="L70" s="56" t="n">
        <v>5</v>
      </c>
      <c r="M70" s="56" t="n"/>
      <c r="N70" s="57" t="n"/>
      <c r="O70" s="56" t="n">
        <v>6</v>
      </c>
      <c r="P70" s="57" t="n"/>
      <c r="Q70" s="57" t="n">
        <v>7</v>
      </c>
      <c r="R70" s="56" t="n">
        <v>7</v>
      </c>
    </row>
    <row r="71">
      <c r="A71" s="53" t="inlineStr">
        <is>
          <t>amer*kanskie animacje</t>
        </is>
      </c>
      <c r="B71" s="58" t="n"/>
      <c r="D71" s="51" t="n"/>
      <c r="I71" s="51" t="n"/>
      <c r="J71" s="51" t="n"/>
      <c r="K71" s="51" t="n"/>
      <c r="N71" s="51" t="n"/>
      <c r="P71" s="51" t="n"/>
      <c r="Q71" s="51" t="n"/>
    </row>
    <row r="72">
      <c r="A72" s="46" t="inlineStr">
        <is>
          <t>potwory vs obcy</t>
        </is>
      </c>
      <c r="B72" s="50">
        <f>AVERAGE(C72:R72)</f>
        <v/>
      </c>
      <c r="C72" s="47" t="n">
        <v>4</v>
      </c>
      <c r="D72" s="48" t="n"/>
      <c r="E72" s="47" t="n"/>
      <c r="F72" s="47" t="n"/>
      <c r="G72" s="47" t="n">
        <v>6</v>
      </c>
      <c r="H72" s="47" t="n">
        <v>5</v>
      </c>
      <c r="I72" s="48" t="n"/>
      <c r="J72" s="48" t="n">
        <v>5</v>
      </c>
      <c r="K72" s="48" t="n"/>
      <c r="L72" s="47" t="n"/>
      <c r="M72" s="47" t="n"/>
      <c r="N72" s="48" t="n"/>
      <c r="O72" s="47" t="n"/>
      <c r="P72" s="48" t="n"/>
      <c r="Q72" s="48" t="n"/>
      <c r="R72" s="47" t="n"/>
    </row>
    <row r="73">
      <c r="A73" s="46" t="inlineStr">
        <is>
          <t>rio</t>
        </is>
      </c>
      <c r="B73" s="50">
        <f>AVERAGE(C73:R73)</f>
        <v/>
      </c>
      <c r="C73" s="47" t="n">
        <v>7</v>
      </c>
      <c r="D73" s="48" t="n"/>
      <c r="E73" s="47" t="n"/>
      <c r="F73" s="47" t="n"/>
      <c r="G73" s="47" t="n">
        <v>8</v>
      </c>
      <c r="H73" s="47" t="n">
        <v>7.5</v>
      </c>
      <c r="I73" s="48" t="n"/>
      <c r="J73" s="48" t="n">
        <v>7</v>
      </c>
      <c r="K73" s="48" t="n"/>
      <c r="L73" s="47" t="n"/>
      <c r="M73" s="47" t="n"/>
      <c r="N73" s="48" t="n"/>
      <c r="O73" s="47" t="n">
        <v>6</v>
      </c>
      <c r="P73" s="48" t="n"/>
      <c r="Q73" s="48" t="n"/>
      <c r="R73" s="47" t="n"/>
    </row>
    <row r="74">
      <c r="A74" s="53" t="inlineStr">
        <is>
          <t>Syn z przyszłości</t>
        </is>
      </c>
      <c r="B74" s="59" t="n"/>
      <c r="D74" s="51" t="n"/>
      <c r="I74" s="51" t="n"/>
      <c r="J74" s="51" t="n"/>
      <c r="K74" s="51" t="n"/>
      <c r="N74" s="51" t="n"/>
      <c r="P74" s="51" t="n"/>
      <c r="Q74" s="51" t="n"/>
    </row>
    <row r="75">
      <c r="A75" s="46" t="inlineStr">
        <is>
          <t>Rodzinka Robinsonów</t>
        </is>
      </c>
      <c r="B75" s="60">
        <f>AVERAGE(C75:R75)</f>
        <v/>
      </c>
      <c r="C75" s="47" t="n">
        <v>6</v>
      </c>
      <c r="D75" s="48" t="n"/>
      <c r="E75" s="47" t="n"/>
      <c r="F75" s="47" t="n">
        <v>4</v>
      </c>
      <c r="G75" s="47" t="n"/>
      <c r="H75" s="47" t="n"/>
      <c r="I75" s="48" t="n"/>
      <c r="J75" s="48" t="n"/>
      <c r="K75" s="48" t="n"/>
      <c r="L75" s="47" t="n"/>
      <c r="M75" s="47" t="n"/>
      <c r="N75" s="48" t="n"/>
      <c r="O75" s="47" t="n">
        <v>7</v>
      </c>
      <c r="P75" s="48" t="n"/>
      <c r="Q75" s="48" t="n">
        <v>4</v>
      </c>
      <c r="R75" s="47" t="n"/>
    </row>
    <row r="76">
      <c r="A76" s="46" t="inlineStr">
        <is>
          <t>Predestination</t>
        </is>
      </c>
      <c r="B76" s="60">
        <f>AVERAGE(C76:R76)</f>
        <v/>
      </c>
      <c r="C76" s="47" t="n">
        <v>9</v>
      </c>
      <c r="D76" s="48" t="n"/>
      <c r="E76" s="47" t="n"/>
      <c r="F76" s="47" t="n">
        <v>8</v>
      </c>
      <c r="G76" s="47" t="n"/>
      <c r="H76" s="47" t="n"/>
      <c r="I76" s="48" t="n"/>
      <c r="J76" s="48" t="n"/>
      <c r="K76" s="48" t="n"/>
      <c r="L76" s="47" t="n"/>
      <c r="M76" s="47" t="n"/>
      <c r="N76" s="48" t="n"/>
      <c r="O76" s="47" t="n">
        <v>8</v>
      </c>
      <c r="P76" s="48" t="n"/>
      <c r="Q76" s="48" t="n">
        <v>9.5</v>
      </c>
      <c r="R76" s="47" t="n"/>
    </row>
    <row r="77">
      <c r="A77" s="53" t="inlineStr">
        <is>
          <t>gruby chudy christian bale</t>
        </is>
      </c>
      <c r="B77" s="59" t="n"/>
      <c r="D77" s="51" t="n"/>
      <c r="I77" s="51" t="n"/>
      <c r="J77" s="51" t="n"/>
      <c r="K77" s="51" t="n"/>
      <c r="N77" s="51" t="n"/>
      <c r="P77" s="51" t="n"/>
      <c r="Q77" s="51" t="n"/>
    </row>
    <row r="78">
      <c r="A78" s="46" t="inlineStr">
        <is>
          <t>American Psycho</t>
        </is>
      </c>
      <c r="B78" s="60">
        <f>AVERAGE(C78:S78)</f>
        <v/>
      </c>
      <c r="C78" s="47" t="n">
        <v>8</v>
      </c>
      <c r="D78" s="48" t="inlineStr">
        <is>
          <t>Y</t>
        </is>
      </c>
      <c r="E78" s="47" t="n"/>
      <c r="F78" s="47" t="n"/>
      <c r="G78" s="47" t="n">
        <v>7.5</v>
      </c>
      <c r="H78" s="47" t="n">
        <v>4</v>
      </c>
      <c r="I78" s="48" t="n"/>
      <c r="J78" s="48" t="n"/>
      <c r="K78" s="48" t="n"/>
      <c r="L78" s="47" t="n"/>
      <c r="M78" s="47" t="n"/>
      <c r="N78" s="48" t="n"/>
      <c r="O78" s="47" t="n">
        <v>9</v>
      </c>
      <c r="P78" s="48" t="n"/>
      <c r="Q78" s="48" t="n">
        <v>8</v>
      </c>
      <c r="R78" s="47" t="n"/>
      <c r="S78" s="47" t="n">
        <v>6.5</v>
      </c>
      <c r="T78" s="47" t="n"/>
      <c r="U78" s="47" t="n"/>
    </row>
    <row r="79">
      <c r="A79" s="46" t="inlineStr">
        <is>
          <t>The Machinist</t>
        </is>
      </c>
      <c r="B79" s="60">
        <f>AVERAGE(C79:S79)</f>
        <v/>
      </c>
      <c r="C79" s="47" t="n">
        <v>6</v>
      </c>
      <c r="D79" s="48" t="n"/>
      <c r="E79" s="47" t="n"/>
      <c r="F79" s="47" t="n"/>
      <c r="G79" s="47" t="n">
        <v>8.5</v>
      </c>
      <c r="H79" s="47" t="n">
        <v>4</v>
      </c>
      <c r="I79" s="48" t="n"/>
      <c r="J79" s="48" t="n"/>
      <c r="K79" s="48" t="n"/>
      <c r="L79" s="47" t="n"/>
      <c r="M79" s="47" t="n"/>
      <c r="N79" s="48" t="n"/>
      <c r="O79" s="47" t="n">
        <v>8</v>
      </c>
      <c r="P79" s="48" t="n"/>
      <c r="Q79" s="48" t="n">
        <v>6</v>
      </c>
      <c r="R79" s="47" t="n"/>
      <c r="S79" s="47" t="n">
        <v>7.5</v>
      </c>
      <c r="T79" s="47" t="n"/>
      <c r="U79" s="47" t="n"/>
    </row>
    <row r="80">
      <c r="A80" s="53" t="inlineStr">
        <is>
          <t>czarnobiałe</t>
        </is>
      </c>
      <c r="B80" s="59" t="n"/>
      <c r="D80" s="51" t="n"/>
      <c r="I80" s="51" t="n"/>
      <c r="J80" s="51" t="n"/>
      <c r="K80" s="51" t="n"/>
      <c r="N80" s="51" t="n"/>
      <c r="P80" s="51" t="n"/>
      <c r="Q80" s="51" t="n"/>
    </row>
    <row r="81">
      <c r="A81" s="46" t="inlineStr">
        <is>
          <t>la haine</t>
        </is>
      </c>
      <c r="B81" s="61">
        <f>AVERAGE(C81:S81)</f>
        <v/>
      </c>
      <c r="C81" s="47" t="n">
        <v>7</v>
      </c>
      <c r="D81" s="48" t="n"/>
      <c r="E81" s="47" t="n"/>
      <c r="F81" s="47" t="n"/>
      <c r="G81" s="47" t="n"/>
      <c r="H81" s="47" t="n"/>
      <c r="I81" s="48" t="n"/>
      <c r="J81" s="48" t="n"/>
      <c r="K81" s="48" t="n"/>
      <c r="L81" s="47" t="n">
        <v>6</v>
      </c>
      <c r="M81" s="47" t="n"/>
      <c r="N81" s="48" t="n"/>
      <c r="O81" s="47" t="n">
        <v>9</v>
      </c>
      <c r="P81" s="48" t="n"/>
      <c r="Q81" s="48" t="n">
        <v>6</v>
      </c>
      <c r="R81" s="47" t="n"/>
      <c r="S81" s="47" t="n">
        <v>7</v>
      </c>
      <c r="T81" s="47" t="n"/>
      <c r="U81" s="47" t="n"/>
    </row>
    <row r="82">
      <c r="A82" s="46" t="inlineStr">
        <is>
          <t>american history x</t>
        </is>
      </c>
      <c r="B82" s="61">
        <f>AVERAGE(C82:S82)</f>
        <v/>
      </c>
      <c r="C82" s="47" t="n">
        <v>7</v>
      </c>
      <c r="D82" s="48" t="n"/>
      <c r="E82" s="47" t="n"/>
      <c r="F82" s="47" t="n"/>
      <c r="G82" s="47" t="n"/>
      <c r="H82" s="47" t="n"/>
      <c r="I82" s="48" t="n"/>
      <c r="J82" s="48" t="n"/>
      <c r="K82" s="48" t="n"/>
      <c r="L82" s="47" t="n">
        <v>6.5</v>
      </c>
      <c r="M82" s="47" t="n"/>
      <c r="N82" s="48" t="n"/>
      <c r="O82" s="47" t="n">
        <v>8</v>
      </c>
      <c r="P82" s="48" t="n"/>
      <c r="Q82" s="48" t="n">
        <v>7</v>
      </c>
      <c r="R82" s="47" t="n"/>
      <c r="S82" s="47" t="n">
        <v>8.5</v>
      </c>
      <c r="T82" s="47" t="n"/>
      <c r="U82" s="47" t="n"/>
    </row>
    <row r="83">
      <c r="A83" s="53" t="inlineStr">
        <is>
          <t>meta</t>
        </is>
      </c>
      <c r="B83" s="59" t="n"/>
      <c r="D83" s="51" t="n"/>
      <c r="I83" s="51" t="n"/>
      <c r="J83" s="51" t="n"/>
      <c r="K83" s="51" t="n"/>
      <c r="N83" s="51" t="n"/>
      <c r="P83" s="51" t="n"/>
      <c r="Q83" s="51" t="n"/>
    </row>
    <row r="84">
      <c r="A84" s="46" t="inlineStr">
        <is>
          <t>Being John Malkovich</t>
        </is>
      </c>
      <c r="B84" s="60">
        <f>AVERAGE(C84:S84)</f>
        <v/>
      </c>
      <c r="C84" s="47" t="n">
        <v>8</v>
      </c>
      <c r="D84" s="48" t="n"/>
      <c r="E84" s="47" t="n"/>
      <c r="F84" s="47" t="n">
        <v>7</v>
      </c>
      <c r="G84" s="47" t="n"/>
      <c r="H84" s="47" t="n"/>
      <c r="I84" s="48" t="n"/>
      <c r="J84" s="48" t="n"/>
      <c r="K84" s="48" t="n"/>
      <c r="L84" s="47" t="n"/>
      <c r="M84" s="47" t="n"/>
      <c r="N84" s="48" t="n"/>
      <c r="O84" s="47" t="n"/>
      <c r="P84" s="48" t="n"/>
      <c r="Q84" s="48" t="n">
        <v>9</v>
      </c>
      <c r="R84" s="47" t="n">
        <v>6.5</v>
      </c>
      <c r="S84" s="47" t="n"/>
      <c r="T84" s="47" t="n">
        <v>6</v>
      </c>
      <c r="U84" s="47" t="n">
        <v>9</v>
      </c>
    </row>
    <row r="85">
      <c r="A85" s="46" t="inlineStr">
        <is>
          <t>Adaptation.</t>
        </is>
      </c>
      <c r="B85" s="60">
        <f>AVERAGE(C85:S85)</f>
        <v/>
      </c>
      <c r="C85" s="47" t="n">
        <v>9</v>
      </c>
      <c r="D85" s="48" t="n"/>
      <c r="E85" s="47" t="n"/>
      <c r="F85" s="47" t="n">
        <v>9</v>
      </c>
      <c r="G85" s="47" t="n"/>
      <c r="H85" s="47" t="n"/>
      <c r="I85" s="48" t="n"/>
      <c r="J85" s="48" t="n"/>
      <c r="K85" s="48" t="n"/>
      <c r="L85" s="47" t="n"/>
      <c r="M85" s="47" t="n"/>
      <c r="N85" s="48" t="n"/>
      <c r="O85" s="47" t="n"/>
      <c r="P85" s="48" t="n"/>
      <c r="Q85" s="48" t="n">
        <v>8</v>
      </c>
      <c r="R85" s="47" t="n">
        <v>8.5</v>
      </c>
      <c r="S85" s="47" t="n"/>
      <c r="T85" s="47" t="n">
        <v>7</v>
      </c>
      <c r="U85" s="47" t="n">
        <v>10</v>
      </c>
    </row>
    <row r="86">
      <c r="A86" s="53" t="inlineStr">
        <is>
          <t>Legalna Blondynka</t>
        </is>
      </c>
      <c r="B86" s="59" t="n"/>
      <c r="D86" s="51" t="n"/>
      <c r="I86" s="51" t="n"/>
      <c r="J86" s="51" t="n"/>
      <c r="K86" s="51" t="n"/>
      <c r="N86" s="51" t="n"/>
      <c r="P86" s="51" t="n"/>
      <c r="Q86" s="51" t="n"/>
    </row>
    <row r="87">
      <c r="A87" s="46" t="inlineStr">
        <is>
          <t>Legalna Blondynka 1</t>
        </is>
      </c>
      <c r="B87" s="60">
        <f>AVERAGE(C87:U87)</f>
        <v/>
      </c>
      <c r="C87" s="47" t="n">
        <v>7</v>
      </c>
      <c r="D87" s="48" t="n"/>
      <c r="E87" s="47" t="n"/>
      <c r="F87" s="47" t="n">
        <v>5</v>
      </c>
      <c r="G87" s="47" t="n">
        <v>7</v>
      </c>
      <c r="H87" s="47" t="n">
        <v>7</v>
      </c>
      <c r="I87" s="48" t="n"/>
      <c r="J87" s="48" t="n"/>
      <c r="K87" s="48" t="n"/>
      <c r="L87" s="47" t="n">
        <v>6</v>
      </c>
      <c r="M87" s="47" t="n">
        <v>10</v>
      </c>
      <c r="N87" s="48" t="n"/>
      <c r="O87" s="47" t="n"/>
      <c r="P87" s="48" t="n"/>
      <c r="Q87" s="48" t="n">
        <v>8</v>
      </c>
      <c r="R87" s="47" t="n"/>
      <c r="S87" s="47" t="n">
        <v>5.5</v>
      </c>
      <c r="T87" s="47" t="n"/>
      <c r="U87" s="47" t="n"/>
    </row>
    <row r="88">
      <c r="A88" s="46" t="inlineStr">
        <is>
          <t>Legalna Blondynka 2: Czerwony, Biały i Blond</t>
        </is>
      </c>
      <c r="B88" s="60">
        <f>AVERAGE(C88:U88)</f>
        <v/>
      </c>
      <c r="C88" s="47" t="n">
        <v>7</v>
      </c>
      <c r="D88" s="48" t="n"/>
      <c r="E88" s="47" t="n"/>
      <c r="F88" s="47" t="n">
        <v>5</v>
      </c>
      <c r="G88" s="47" t="n">
        <v>5.5</v>
      </c>
      <c r="H88" s="47" t="n">
        <v>7</v>
      </c>
      <c r="I88" s="48" t="n"/>
      <c r="J88" s="48" t="n"/>
      <c r="K88" s="48" t="n"/>
      <c r="L88" s="47" t="n">
        <v>5</v>
      </c>
      <c r="M88" s="47" t="n">
        <v>7</v>
      </c>
      <c r="N88" s="48" t="n"/>
      <c r="O88" s="47" t="n"/>
      <c r="P88" s="48" t="n"/>
      <c r="Q88" s="48" t="n">
        <v>4</v>
      </c>
      <c r="R88" s="47" t="n"/>
      <c r="S88" s="47" t="n">
        <v>5</v>
      </c>
      <c r="T88" s="47" t="n"/>
      <c r="U88" s="47" t="n"/>
    </row>
    <row r="89">
      <c r="A89" s="53" t="inlineStr">
        <is>
          <t xml:space="preserve">twój Stary na rybach </t>
        </is>
      </c>
      <c r="B89" s="52" t="n"/>
      <c r="D89" s="51" t="n"/>
      <c r="I89" s="51" t="n"/>
      <c r="J89" s="51" t="n"/>
      <c r="K89" s="51" t="n"/>
      <c r="N89" s="51" t="n"/>
      <c r="P89" s="51" t="n"/>
      <c r="Q89" s="51" t="n"/>
    </row>
    <row r="90">
      <c r="A90" s="46" t="inlineStr">
        <is>
          <t>A Goofy Movie</t>
        </is>
      </c>
      <c r="B90" s="60">
        <f>AVERAGE(C90:U90)</f>
        <v/>
      </c>
      <c r="C90" s="47" t="n">
        <v>7</v>
      </c>
      <c r="D90" s="48" t="n"/>
      <c r="E90" s="47" t="n"/>
      <c r="F90" s="47" t="n">
        <v>5</v>
      </c>
      <c r="G90" s="47" t="n">
        <v>6</v>
      </c>
      <c r="H90" s="47" t="n"/>
      <c r="I90" s="48" t="n"/>
      <c r="J90" s="48" t="n"/>
      <c r="K90" s="48" t="n"/>
      <c r="L90" s="47" t="n">
        <v>8</v>
      </c>
      <c r="M90" s="47" t="n"/>
      <c r="N90" s="48" t="n"/>
      <c r="O90" s="47" t="n">
        <v>7</v>
      </c>
      <c r="P90" s="48" t="n"/>
      <c r="Q90" s="48" t="n"/>
      <c r="R90" s="47" t="n"/>
      <c r="S90" s="47" t="n">
        <v>6.5</v>
      </c>
      <c r="T90" s="47" t="n"/>
      <c r="U90" s="47" t="n"/>
    </row>
    <row r="91">
      <c r="A91" s="46" t="inlineStr">
        <is>
          <t>Brokeback Mountain</t>
        </is>
      </c>
      <c r="B91" s="60">
        <f>AVERAGE(C91:U91)</f>
        <v/>
      </c>
      <c r="C91" s="47" t="n">
        <v>9</v>
      </c>
      <c r="D91" s="48" t="n"/>
      <c r="E91" s="47" t="n"/>
      <c r="F91" s="47" t="n">
        <v>8</v>
      </c>
      <c r="G91" s="47" t="n">
        <v>8</v>
      </c>
      <c r="H91" s="47" t="n"/>
      <c r="I91" s="48" t="n"/>
      <c r="J91" s="48" t="n"/>
      <c r="K91" s="48" t="n"/>
      <c r="L91" s="47" t="n">
        <v>7</v>
      </c>
      <c r="M91" s="47" t="n"/>
      <c r="N91" s="48" t="n"/>
      <c r="O91" s="47" t="n">
        <v>10</v>
      </c>
      <c r="P91" s="48" t="n"/>
      <c r="Q91" s="48" t="n"/>
      <c r="R91" s="47" t="n"/>
      <c r="S91" s="47" t="n">
        <v>9</v>
      </c>
      <c r="T91" s="47" t="n"/>
      <c r="U91" s="47" t="n"/>
    </row>
    <row r="92">
      <c r="A92" s="53" t="inlineStr">
        <is>
          <t>Pierwsze odcinki animacji</t>
        </is>
      </c>
      <c r="B92" s="52" t="n"/>
      <c r="D92" s="51" t="n"/>
      <c r="I92" s="51" t="n"/>
      <c r="J92" s="51" t="n"/>
      <c r="K92" s="51" t="n"/>
      <c r="N92" s="51" t="n"/>
      <c r="P92" s="51" t="n"/>
      <c r="Q92" s="51" t="n"/>
    </row>
    <row r="93">
      <c r="A93" s="46" t="inlineStr">
        <is>
          <t>Wakfu</t>
        </is>
      </c>
      <c r="B93" s="60">
        <f>AVERAGE(C93:V93)</f>
        <v/>
      </c>
      <c r="C93" s="47" t="n">
        <v>3</v>
      </c>
      <c r="D93" s="48" t="n"/>
      <c r="E93" s="47" t="n"/>
      <c r="F93" s="47" t="n">
        <v>2</v>
      </c>
      <c r="G93" s="47" t="n">
        <v>5</v>
      </c>
      <c r="H93" s="47" t="n"/>
      <c r="I93" s="48" t="n"/>
      <c r="J93" s="48" t="n"/>
      <c r="K93" s="48" t="n"/>
      <c r="L93" s="47" t="n">
        <v>6</v>
      </c>
      <c r="M93" s="47" t="n"/>
      <c r="N93" s="48" t="n"/>
      <c r="O93" s="47" t="n">
        <v>5</v>
      </c>
      <c r="P93" s="48" t="n"/>
      <c r="Q93" s="48" t="n"/>
      <c r="R93" s="47" t="n"/>
      <c r="S93" s="47" t="n">
        <v>4</v>
      </c>
      <c r="T93" s="47" t="n"/>
      <c r="U93" s="47" t="n"/>
      <c r="V93" s="47" t="n">
        <v>2</v>
      </c>
    </row>
    <row r="94">
      <c r="A94" s="46" t="inlineStr">
        <is>
          <t>Primal</t>
        </is>
      </c>
      <c r="B94" s="60">
        <f>AVERAGE(C94:V94)</f>
        <v/>
      </c>
      <c r="C94" s="47" t="n">
        <v>4</v>
      </c>
      <c r="D94" s="48" t="n"/>
      <c r="E94" s="47" t="n"/>
      <c r="F94" s="47" t="n">
        <v>6</v>
      </c>
      <c r="G94" s="47" t="n">
        <v>6.5</v>
      </c>
      <c r="H94" s="47" t="n"/>
      <c r="I94" s="48" t="n"/>
      <c r="J94" s="48" t="n"/>
      <c r="K94" s="48" t="n"/>
      <c r="L94" s="47" t="n">
        <v>6</v>
      </c>
      <c r="M94" s="47" t="n"/>
      <c r="N94" s="48" t="n"/>
      <c r="O94" s="47" t="n">
        <v>6</v>
      </c>
      <c r="P94" s="48" t="n"/>
      <c r="Q94" s="48" t="n"/>
      <c r="R94" s="47" t="n"/>
      <c r="S94" s="47" t="n">
        <v>4</v>
      </c>
      <c r="T94" s="47" t="n"/>
      <c r="U94" s="47" t="n"/>
      <c r="V94" s="47" t="n">
        <v>5</v>
      </c>
    </row>
    <row r="95">
      <c r="A95" s="46" t="inlineStr">
        <is>
          <t>Undone</t>
        </is>
      </c>
      <c r="B95" s="60">
        <f>AVERAGE(C95:V95)</f>
        <v/>
      </c>
      <c r="C95" s="47" t="n">
        <v>6</v>
      </c>
      <c r="D95" s="48" t="n"/>
      <c r="E95" s="47" t="n"/>
      <c r="F95" s="47" t="n">
        <v>4</v>
      </c>
      <c r="G95" s="47" t="n">
        <v>5</v>
      </c>
      <c r="H95" s="47" t="n"/>
      <c r="I95" s="48" t="n"/>
      <c r="J95" s="48" t="n"/>
      <c r="K95" s="48" t="n"/>
      <c r="L95" s="47" t="n">
        <v>5</v>
      </c>
      <c r="M95" s="47" t="n"/>
      <c r="N95" s="48" t="n"/>
      <c r="O95" s="47" t="n">
        <v>4</v>
      </c>
      <c r="P95" s="48" t="n"/>
      <c r="Q95" s="48" t="n"/>
      <c r="R95" s="47" t="n"/>
      <c r="S95" s="47" t="n">
        <v>3</v>
      </c>
      <c r="T95" s="47" t="n"/>
      <c r="U95" s="47" t="n"/>
      <c r="V95" s="47" t="n">
        <v>3.5</v>
      </c>
    </row>
    <row r="96">
      <c r="A96" s="46" t="inlineStr">
        <is>
          <t>Scavengers Reign</t>
        </is>
      </c>
      <c r="B96" s="60">
        <f>AVERAGE(C96:V96)</f>
        <v/>
      </c>
      <c r="C96" s="47" t="n">
        <v>6</v>
      </c>
      <c r="D96" s="48" t="n"/>
      <c r="E96" s="47" t="n"/>
      <c r="F96" s="47" t="n">
        <v>7</v>
      </c>
      <c r="G96" s="47" t="n">
        <v>8</v>
      </c>
      <c r="H96" s="47" t="n"/>
      <c r="I96" s="48" t="n"/>
      <c r="J96" s="48" t="n"/>
      <c r="K96" s="48" t="n"/>
      <c r="L96" s="47" t="n">
        <v>4</v>
      </c>
      <c r="M96" s="47" t="n"/>
      <c r="N96" s="48" t="n"/>
      <c r="O96" s="47" t="n">
        <v>7</v>
      </c>
      <c r="P96" s="48" t="n"/>
      <c r="Q96" s="48" t="n"/>
      <c r="R96" s="47" t="n"/>
      <c r="S96" s="47" t="n">
        <v>7</v>
      </c>
      <c r="T96" s="47" t="n"/>
      <c r="U96" s="47" t="n"/>
      <c r="V96" s="47" t="n">
        <v>7</v>
      </c>
    </row>
    <row r="97">
      <c r="A97" s="46" t="inlineStr">
        <is>
          <t>Love Death &amp; Robots</t>
        </is>
      </c>
      <c r="B97" s="60">
        <f>AVERAGE(C97:V97)</f>
        <v/>
      </c>
      <c r="C97" s="47" t="n">
        <v>9</v>
      </c>
      <c r="D97" s="48" t="n"/>
      <c r="E97" s="47" t="n"/>
      <c r="F97" s="47" t="n">
        <v>8</v>
      </c>
      <c r="G97" s="47" t="n">
        <v>10</v>
      </c>
      <c r="H97" s="47" t="n"/>
      <c r="I97" s="48" t="n"/>
      <c r="J97" s="48" t="n"/>
      <c r="K97" s="48" t="n"/>
      <c r="L97" s="47" t="n">
        <v>4</v>
      </c>
      <c r="M97" s="47" t="n"/>
      <c r="N97" s="48" t="n"/>
      <c r="O97" s="47" t="n">
        <v>6</v>
      </c>
      <c r="P97" s="48" t="n"/>
      <c r="Q97" s="48" t="n"/>
      <c r="R97" s="47" t="n"/>
      <c r="S97" s="47" t="n">
        <v>8.5</v>
      </c>
      <c r="T97" s="47" t="n"/>
      <c r="U97" s="47" t="n"/>
      <c r="V97" s="47" t="n">
        <v>9</v>
      </c>
    </row>
    <row r="98">
      <c r="A98" s="46" t="inlineStr">
        <is>
          <t>Blades of the Guardians</t>
        </is>
      </c>
      <c r="B98" s="60">
        <f>AVERAGE(C98:V98)</f>
        <v/>
      </c>
      <c r="C98" s="47" t="n">
        <v>3</v>
      </c>
      <c r="D98" s="48" t="n"/>
      <c r="E98" s="47" t="n"/>
      <c r="F98" s="47" t="n">
        <v>3</v>
      </c>
      <c r="G98" s="47" t="n">
        <v>4</v>
      </c>
      <c r="H98" s="47" t="n">
        <v>4</v>
      </c>
      <c r="I98" s="48" t="n"/>
      <c r="J98" s="48" t="n"/>
      <c r="K98" s="48" t="n"/>
      <c r="L98" s="47" t="n">
        <v>2</v>
      </c>
      <c r="M98" s="47" t="n"/>
      <c r="N98" s="48" t="n"/>
      <c r="O98" s="47" t="n"/>
      <c r="P98" s="48" t="n"/>
      <c r="Q98" s="48" t="n"/>
      <c r="R98" s="47" t="n"/>
      <c r="S98" s="47" t="n">
        <v>5</v>
      </c>
      <c r="T98" s="47" t="n"/>
      <c r="U98" s="47" t="n"/>
      <c r="V98" s="47" t="n">
        <v>2</v>
      </c>
    </row>
    <row r="99">
      <c r="A99" s="46" t="inlineStr">
        <is>
          <t>Twilight of the Gods</t>
        </is>
      </c>
      <c r="B99" s="60">
        <f>AVERAGE(C99:V99)</f>
        <v/>
      </c>
      <c r="C99" s="47" t="n">
        <v>9</v>
      </c>
      <c r="D99" s="48" t="n"/>
      <c r="E99" s="47" t="n"/>
      <c r="F99" s="47" t="n">
        <v>6</v>
      </c>
      <c r="G99" s="47" t="n">
        <v>7</v>
      </c>
      <c r="H99" s="47" t="n">
        <v>7</v>
      </c>
      <c r="I99" s="48" t="n"/>
      <c r="J99" s="48" t="n"/>
      <c r="K99" s="48" t="n"/>
      <c r="L99" s="47" t="n">
        <v>2</v>
      </c>
      <c r="M99" s="47" t="n"/>
      <c r="N99" s="48" t="n"/>
      <c r="O99" s="47" t="n"/>
      <c r="P99" s="48" t="n"/>
      <c r="Q99" s="48" t="n"/>
      <c r="R99" s="47" t="n"/>
      <c r="S99" s="47" t="n">
        <v>7.5</v>
      </c>
      <c r="T99" s="47" t="n"/>
      <c r="U99" s="47" t="n"/>
      <c r="V99" s="47" t="n">
        <v>9</v>
      </c>
    </row>
    <row r="100">
      <c r="A100" s="46" t="inlineStr">
        <is>
          <t>Castlevania</t>
        </is>
      </c>
      <c r="B100" s="60">
        <f>AVERAGE(C100:V100)</f>
        <v/>
      </c>
      <c r="C100" s="47" t="n">
        <v>9</v>
      </c>
      <c r="D100" s="48" t="n"/>
      <c r="E100" s="47" t="n"/>
      <c r="F100" s="47" t="n">
        <v>7</v>
      </c>
      <c r="G100" s="47" t="n">
        <v>8</v>
      </c>
      <c r="H100" s="47" t="n">
        <v>7</v>
      </c>
      <c r="I100" s="48" t="n"/>
      <c r="J100" s="48" t="n"/>
      <c r="K100" s="48" t="n"/>
      <c r="L100" s="47" t="n">
        <v>9</v>
      </c>
      <c r="M100" s="47" t="n"/>
      <c r="N100" s="48" t="n"/>
      <c r="O100" s="47" t="n"/>
      <c r="P100" s="48" t="n"/>
      <c r="Q100" s="48" t="n"/>
      <c r="R100" s="47" t="n"/>
      <c r="S100" s="47" t="n">
        <v>5</v>
      </c>
      <c r="T100" s="47" t="n"/>
      <c r="U100" s="47" t="n"/>
      <c r="V100" s="47" t="n">
        <v>9</v>
      </c>
    </row>
    <row r="101">
      <c r="A101" s="53" t="inlineStr">
        <is>
          <t>Halloween 2024</t>
        </is>
      </c>
      <c r="B101" s="52" t="n"/>
      <c r="D101" s="51" t="n"/>
      <c r="I101" s="51" t="n"/>
      <c r="J101" s="51" t="n"/>
      <c r="K101" s="51" t="n"/>
      <c r="N101" s="51" t="n"/>
      <c r="P101" s="51" t="n"/>
      <c r="Q101" s="51" t="n"/>
    </row>
    <row r="102">
      <c r="A102" s="46" t="inlineStr">
        <is>
          <t>Here for blood</t>
        </is>
      </c>
      <c r="B102" s="60">
        <f>AVERAGE(C102:Y102)</f>
        <v/>
      </c>
      <c r="C102" s="56" t="n">
        <v>8</v>
      </c>
      <c r="D102" s="57" t="n"/>
      <c r="E102" s="56" t="n">
        <v>7</v>
      </c>
      <c r="F102" s="56" t="n"/>
      <c r="G102" s="56" t="n"/>
      <c r="H102" s="56" t="n">
        <v>3</v>
      </c>
      <c r="I102" s="57" t="n"/>
      <c r="J102" s="57" t="n"/>
      <c r="K102" s="57" t="n"/>
      <c r="L102" s="56" t="n">
        <v>5</v>
      </c>
      <c r="M102" s="56" t="n"/>
      <c r="N102" s="57" t="n"/>
      <c r="O102" s="56" t="n"/>
      <c r="P102" s="57" t="n"/>
      <c r="Q102" s="57" t="n"/>
      <c r="R102" s="56" t="n"/>
      <c r="S102" s="56" t="n">
        <v>8</v>
      </c>
      <c r="T102" s="56" t="n"/>
      <c r="U102" s="56" t="n"/>
      <c r="V102" s="56" t="n">
        <v>7</v>
      </c>
      <c r="W102" s="56" t="n">
        <v>5</v>
      </c>
    </row>
    <row r="103">
      <c r="A103" s="46" t="inlineStr">
        <is>
          <t>Omen</t>
        </is>
      </c>
      <c r="B103" s="60">
        <f>AVERAGE(C103:Y103)</f>
        <v/>
      </c>
      <c r="C103" s="56" t="n">
        <v>7</v>
      </c>
      <c r="D103" s="57" t="n"/>
      <c r="E103" s="56" t="n">
        <v>8</v>
      </c>
      <c r="F103" s="56" t="n"/>
      <c r="G103" s="56" t="n"/>
      <c r="H103" s="56" t="n">
        <v>6</v>
      </c>
      <c r="I103" s="57" t="n"/>
      <c r="J103" s="57" t="n"/>
      <c r="K103" s="57" t="n"/>
      <c r="L103" s="56" t="n">
        <v>6</v>
      </c>
      <c r="M103" s="56" t="n"/>
      <c r="N103" s="57" t="n"/>
      <c r="O103" s="56" t="n"/>
      <c r="P103" s="57" t="n"/>
      <c r="Q103" s="57" t="n"/>
      <c r="R103" s="56" t="n"/>
      <c r="S103" s="56" t="n">
        <v>8.5</v>
      </c>
      <c r="T103" s="56" t="n"/>
      <c r="U103" s="56" t="n"/>
      <c r="V103" s="56" t="n">
        <v>8</v>
      </c>
      <c r="W103" s="56" t="n">
        <v>8</v>
      </c>
    </row>
    <row r="104">
      <c r="A104" s="53" t="inlineStr">
        <is>
          <t>Świąteczne</t>
        </is>
      </c>
      <c r="B104" s="60" t="n"/>
      <c r="D104" s="51" t="n"/>
      <c r="I104" s="51" t="n"/>
      <c r="J104" s="51" t="n"/>
      <c r="K104" s="51" t="n"/>
      <c r="N104" s="51" t="n"/>
      <c r="P104" s="51" t="n"/>
      <c r="Q104" s="51" t="n"/>
    </row>
    <row r="105">
      <c r="A105" s="46" t="inlineStr">
        <is>
          <t>Grinch (2000)</t>
        </is>
      </c>
      <c r="B105" s="60">
        <f>AVERAGE(C105:Y105)</f>
        <v/>
      </c>
      <c r="C105" s="47" t="n">
        <v>10</v>
      </c>
      <c r="D105" s="48" t="n"/>
      <c r="E105" s="47" t="n"/>
      <c r="F105" s="47" t="n"/>
      <c r="G105" s="47" t="n"/>
      <c r="H105" s="47" t="n"/>
      <c r="I105" s="48" t="n"/>
      <c r="J105" s="48" t="n"/>
      <c r="K105" s="48" t="n"/>
      <c r="L105" s="47" t="n"/>
      <c r="M105" s="47" t="n"/>
      <c r="N105" s="48" t="n"/>
      <c r="O105" s="47" t="n">
        <v>6</v>
      </c>
      <c r="P105" s="48" t="n"/>
      <c r="Q105" s="48" t="n"/>
      <c r="R105" s="47" t="n"/>
      <c r="S105" s="47" t="n">
        <v>7</v>
      </c>
      <c r="T105" s="47" t="n"/>
      <c r="U105" s="47" t="n"/>
      <c r="V105" s="47" t="n"/>
      <c r="W105" s="47" t="n"/>
    </row>
    <row r="106">
      <c r="A106" s="46" t="inlineStr">
        <is>
          <t>Muppet Christmas Carol</t>
        </is>
      </c>
      <c r="B106" s="60">
        <f>AVERAGE(C106:Y106)</f>
        <v/>
      </c>
      <c r="C106" s="47" t="n">
        <v>7</v>
      </c>
      <c r="D106" s="48" t="n"/>
      <c r="E106" s="47" t="n">
        <v>6</v>
      </c>
      <c r="F106" s="47" t="n"/>
      <c r="G106" s="47" t="n"/>
      <c r="H106" s="47" t="n"/>
      <c r="I106" s="48" t="n"/>
      <c r="J106" s="48" t="n"/>
      <c r="K106" s="48" t="n"/>
      <c r="L106" s="47" t="n">
        <v>7</v>
      </c>
      <c r="M106" s="47" t="n"/>
      <c r="N106" s="48" t="n"/>
      <c r="O106" s="47" t="n">
        <v>8</v>
      </c>
      <c r="P106" s="48" t="n"/>
      <c r="Q106" s="48" t="n"/>
      <c r="R106" s="47" t="n"/>
      <c r="S106" s="47" t="n">
        <v>8</v>
      </c>
      <c r="T106" s="47" t="n"/>
      <c r="U106" s="47" t="n"/>
      <c r="V106" s="47" t="n"/>
      <c r="W106" s="47" t="n"/>
    </row>
    <row r="107">
      <c r="A107" s="53" t="inlineStr">
        <is>
          <t>Przyrodniczo-naukowe</t>
        </is>
      </c>
      <c r="B107" s="52" t="n"/>
      <c r="D107" s="51" t="n"/>
      <c r="I107" s="51" t="n"/>
      <c r="J107" s="51" t="n"/>
      <c r="K107" s="51" t="n"/>
      <c r="N107" s="51" t="n"/>
      <c r="P107" s="51" t="n"/>
      <c r="Q107" s="51" t="n"/>
    </row>
    <row r="108">
      <c r="A108" s="46" t="inlineStr">
        <is>
          <t>Fantastic Fungi</t>
        </is>
      </c>
      <c r="B108" s="60">
        <f>AVERAGE(C108:Y108)</f>
        <v/>
      </c>
      <c r="C108" s="47" t="n">
        <v>4</v>
      </c>
      <c r="D108" s="48" t="n"/>
      <c r="E108" s="47" t="n"/>
      <c r="F108" s="47" t="n">
        <v>4</v>
      </c>
      <c r="G108" s="47" t="n">
        <v>5</v>
      </c>
      <c r="H108" s="47" t="n">
        <v>4</v>
      </c>
      <c r="I108" s="48" t="n"/>
      <c r="J108" s="48" t="n"/>
      <c r="K108" s="48" t="n"/>
      <c r="L108" s="47" t="n">
        <v>3</v>
      </c>
      <c r="M108" s="47" t="n"/>
      <c r="N108" s="48" t="n"/>
      <c r="O108" s="47" t="n"/>
      <c r="P108" s="48" t="n"/>
      <c r="Q108" s="48" t="n"/>
      <c r="R108" s="47" t="n"/>
      <c r="S108" s="47" t="n">
        <v>2</v>
      </c>
      <c r="T108" s="47" t="n"/>
      <c r="U108" s="47" t="n"/>
      <c r="V108" s="47" t="n">
        <v>3.5</v>
      </c>
      <c r="W108" s="47" t="n">
        <v>3</v>
      </c>
    </row>
    <row r="109">
      <c r="A109" s="46" t="inlineStr">
        <is>
          <t>Czego nauczyła mnie ośmiornica</t>
        </is>
      </c>
      <c r="B109" s="60">
        <f>AVERAGE(C109:Y109)</f>
        <v/>
      </c>
      <c r="C109" s="47" t="n">
        <v>9</v>
      </c>
      <c r="D109" s="48" t="n"/>
      <c r="E109" s="47" t="n"/>
      <c r="F109" s="47" t="n">
        <v>6</v>
      </c>
      <c r="G109" s="47" t="n">
        <v>8</v>
      </c>
      <c r="H109" s="47" t="n">
        <v>7</v>
      </c>
      <c r="I109" s="48" t="n"/>
      <c r="J109" s="48" t="n"/>
      <c r="K109" s="48" t="n"/>
      <c r="L109" s="47" t="n">
        <v>6</v>
      </c>
      <c r="M109" s="47" t="n"/>
      <c r="N109" s="48" t="n"/>
      <c r="O109" s="47" t="n"/>
      <c r="P109" s="48" t="n"/>
      <c r="Q109" s="48" t="n"/>
      <c r="R109" s="47" t="n"/>
      <c r="S109" s="47" t="n">
        <v>6</v>
      </c>
      <c r="T109" s="47" t="n"/>
      <c r="U109" s="47" t="n"/>
      <c r="V109" s="47" t="n"/>
      <c r="W109" s="47" t="n">
        <v>8</v>
      </c>
    </row>
    <row r="110">
      <c r="A110" s="53" t="inlineStr">
        <is>
          <t>Nicolas Cage</t>
        </is>
      </c>
      <c r="B110" s="52" t="n"/>
      <c r="D110" s="51" t="n"/>
      <c r="I110" s="51" t="n"/>
      <c r="J110" s="51" t="n"/>
      <c r="K110" s="51" t="n"/>
      <c r="N110" s="51" t="n"/>
      <c r="P110" s="51" t="n"/>
      <c r="Q110" s="51" t="n"/>
    </row>
    <row r="111">
      <c r="A111" s="46" t="inlineStr">
        <is>
          <t>Dream Scenario</t>
        </is>
      </c>
      <c r="B111" s="60">
        <f>AVERAGE(C111:Y111)</f>
        <v/>
      </c>
      <c r="C111" s="47" t="n">
        <v>7</v>
      </c>
      <c r="D111" s="48" t="n"/>
      <c r="E111" s="47" t="n">
        <v>7</v>
      </c>
      <c r="F111" s="47" t="n"/>
      <c r="G111" s="47" t="n">
        <v>6.5</v>
      </c>
      <c r="H111" s="47" t="n">
        <v>6.5</v>
      </c>
      <c r="I111" s="48" t="n"/>
      <c r="J111" s="48" t="n"/>
      <c r="K111" s="48" t="n"/>
      <c r="L111" s="47" t="n"/>
      <c r="M111" s="47" t="n"/>
      <c r="N111" s="48" t="n"/>
      <c r="O111" s="47" t="n"/>
      <c r="P111" s="48" t="n"/>
      <c r="Q111" s="48" t="n"/>
      <c r="R111" s="47" t="n"/>
      <c r="S111" s="47" t="n">
        <v>3</v>
      </c>
      <c r="T111" s="47" t="n"/>
      <c r="U111" s="47" t="n"/>
      <c r="V111" s="47" t="n"/>
      <c r="W111" s="47" t="n"/>
      <c r="X111" s="47" t="n">
        <v>4</v>
      </c>
    </row>
    <row r="112">
      <c r="A112" s="46" t="inlineStr">
        <is>
          <t>Willy's Wonderland</t>
        </is>
      </c>
      <c r="B112" s="60">
        <f>AVERAGE(C112:Y112)</f>
        <v/>
      </c>
      <c r="C112" s="47" t="n">
        <v>10</v>
      </c>
      <c r="D112" s="48" t="n"/>
      <c r="E112" s="47" t="n">
        <v>10</v>
      </c>
      <c r="F112" s="47" t="n"/>
      <c r="G112" s="47" t="n">
        <v>10</v>
      </c>
      <c r="H112" s="47" t="n">
        <v>10</v>
      </c>
      <c r="I112" s="48" t="n"/>
      <c r="J112" s="48" t="n"/>
      <c r="K112" s="48" t="n"/>
      <c r="L112" s="47" t="n"/>
      <c r="M112" s="47" t="n"/>
      <c r="N112" s="48" t="n"/>
      <c r="O112" s="47" t="n"/>
      <c r="P112" s="48" t="n"/>
      <c r="Q112" s="48" t="n"/>
      <c r="R112" s="47" t="n"/>
      <c r="S112" s="47" t="n">
        <v>7.5</v>
      </c>
      <c r="T112" s="47" t="n"/>
      <c r="U112" s="47" t="n"/>
      <c r="V112" s="47" t="n"/>
      <c r="W112" s="47" t="n"/>
      <c r="X112" s="47" t="n">
        <v>10</v>
      </c>
    </row>
    <row r="113">
      <c r="A113" s="53" t="inlineStr">
        <is>
          <t>Zemsta</t>
        </is>
      </c>
      <c r="B113" s="52" t="n"/>
      <c r="D113" s="51" t="n"/>
      <c r="I113" s="51" t="n"/>
      <c r="J113" s="51" t="n"/>
      <c r="K113" s="51" t="n"/>
      <c r="N113" s="51" t="n"/>
      <c r="P113" s="51" t="n"/>
      <c r="Q113" s="51" t="n"/>
    </row>
    <row r="114">
      <c r="A114" s="46" t="inlineStr">
        <is>
          <t>Commando</t>
        </is>
      </c>
      <c r="B114" s="60">
        <f>AVERAGE(C114:Y114)</f>
        <v/>
      </c>
      <c r="C114" s="47" t="n">
        <v>6</v>
      </c>
      <c r="D114" s="48" t="n"/>
      <c r="E114" s="47" t="n"/>
      <c r="F114" s="47" t="n"/>
      <c r="G114" s="47" t="n">
        <v>6.5</v>
      </c>
      <c r="H114" s="47" t="n">
        <v>6.5</v>
      </c>
      <c r="I114" s="48" t="n"/>
      <c r="J114" s="48" t="n"/>
      <c r="K114" s="48" t="n"/>
      <c r="L114" s="47" t="n">
        <v>8</v>
      </c>
      <c r="M114" s="47" t="n"/>
      <c r="N114" s="48" t="n"/>
      <c r="O114" s="47" t="n"/>
      <c r="P114" s="48" t="n"/>
      <c r="Q114" s="48" t="n"/>
      <c r="R114" s="47" t="n"/>
      <c r="S114" s="47" t="n">
        <v>8</v>
      </c>
      <c r="T114" s="47" t="n"/>
      <c r="U114" s="47" t="n"/>
      <c r="V114" s="47" t="n"/>
      <c r="W114" s="47" t="n"/>
      <c r="X114" s="47" t="n"/>
    </row>
    <row r="115">
      <c r="A115" s="46" t="inlineStr">
        <is>
          <t>Princess Bride</t>
        </is>
      </c>
      <c r="B115" s="60">
        <f>AVERAGE(C115:Y115)</f>
        <v/>
      </c>
      <c r="C115" s="47" t="n">
        <v>9</v>
      </c>
      <c r="D115" s="48" t="n"/>
      <c r="E115" s="47" t="n">
        <v>8</v>
      </c>
      <c r="F115" s="47" t="n">
        <v>8</v>
      </c>
      <c r="G115" s="47" t="n">
        <v>8</v>
      </c>
      <c r="H115" s="47" t="n">
        <v>7.5</v>
      </c>
      <c r="I115" s="48" t="n"/>
      <c r="J115" s="48" t="n"/>
      <c r="K115" s="48" t="n"/>
      <c r="L115" s="47" t="n">
        <v>7.5</v>
      </c>
      <c r="M115" s="47" t="n"/>
      <c r="N115" s="48" t="n"/>
      <c r="O115" s="47" t="n"/>
      <c r="P115" s="48" t="n"/>
      <c r="Q115" s="48" t="n"/>
      <c r="R115" s="47" t="n"/>
      <c r="S115" s="47" t="n">
        <v>7.5</v>
      </c>
      <c r="T115" s="47" t="n"/>
      <c r="U115" s="47" t="n"/>
      <c r="V115" s="47" t="n">
        <v>8</v>
      </c>
      <c r="W115" s="47" t="n"/>
      <c r="X115" s="47" t="n"/>
    </row>
    <row r="116">
      <c r="A116" s="53" t="inlineStr">
        <is>
          <t>Rat</t>
        </is>
      </c>
      <c r="B116" s="52" t="n"/>
      <c r="D116" s="51" t="n"/>
      <c r="I116" s="51" t="n"/>
      <c r="J116" s="51" t="n"/>
      <c r="K116" s="51" t="n"/>
      <c r="N116" s="51" t="n"/>
      <c r="P116" s="51" t="n"/>
      <c r="Q116" s="51" t="n"/>
    </row>
    <row r="117">
      <c r="A117" s="46" t="inlineStr">
        <is>
          <t>Wpuszczeni w kanał</t>
        </is>
      </c>
      <c r="B117" s="60">
        <f>AVERAGE(C117:Y117)</f>
        <v/>
      </c>
      <c r="C117" s="47" t="n">
        <v>4.5</v>
      </c>
      <c r="D117" s="48" t="n"/>
      <c r="E117" s="47" t="n">
        <v>4</v>
      </c>
      <c r="F117" s="47" t="n"/>
      <c r="G117" s="47" t="n"/>
      <c r="H117" s="47" t="n"/>
      <c r="I117" s="48" t="n"/>
      <c r="J117" s="48" t="n"/>
      <c r="K117" s="48" t="n"/>
      <c r="L117" s="47" t="n">
        <v>5.5</v>
      </c>
      <c r="M117" s="47" t="n"/>
      <c r="N117" s="48" t="n"/>
      <c r="O117" s="47" t="n"/>
      <c r="P117" s="48" t="n"/>
      <c r="Q117" s="62" t="n">
        <v>4</v>
      </c>
      <c r="R117" s="47" t="n"/>
      <c r="S117" s="47" t="n">
        <v>6</v>
      </c>
      <c r="T117" s="47" t="n"/>
      <c r="U117" s="47" t="n"/>
      <c r="V117" s="47" t="n"/>
      <c r="W117" s="47" t="n"/>
      <c r="X117" s="47" t="n"/>
    </row>
    <row r="118">
      <c r="A118" s="46" t="inlineStr">
        <is>
          <t>Mój przyjaciel szczur</t>
        </is>
      </c>
      <c r="B118" s="60">
        <f>AVERAGE(C118:Y118)</f>
        <v/>
      </c>
      <c r="C118" s="47" t="n">
        <v>7.5</v>
      </c>
      <c r="D118" s="48" t="n"/>
      <c r="E118" s="47" t="n">
        <v>4</v>
      </c>
      <c r="F118" s="47" t="n"/>
      <c r="G118" s="47" t="n"/>
      <c r="H118" s="47" t="n"/>
      <c r="I118" s="48" t="n"/>
      <c r="J118" s="48" t="n"/>
      <c r="K118" s="48" t="n"/>
      <c r="L118" s="47" t="n">
        <v>7</v>
      </c>
      <c r="M118" s="47" t="n"/>
      <c r="N118" s="48" t="n"/>
      <c r="O118" s="47" t="n"/>
      <c r="P118" s="48" t="n"/>
      <c r="Q118" s="62" t="n">
        <v>5</v>
      </c>
      <c r="R118" s="47" t="n"/>
      <c r="S118" s="47" t="n">
        <v>2</v>
      </c>
      <c r="T118" s="47" t="n"/>
      <c r="U118" s="47" t="n"/>
      <c r="V118" s="47" t="n"/>
      <c r="W118" s="47" t="n"/>
      <c r="X118" s="47" t="n"/>
    </row>
    <row r="119">
      <c r="A119" s="46" t="inlineStr">
        <is>
          <t>Willard (2003)</t>
        </is>
      </c>
      <c r="B119" s="60">
        <f>AVERAGE(C119:Y119)</f>
        <v/>
      </c>
      <c r="C119" s="47" t="n">
        <v>6</v>
      </c>
      <c r="D119" s="48" t="n"/>
      <c r="E119" s="47" t="n">
        <v>7.5</v>
      </c>
      <c r="F119" s="47" t="n">
        <v>7</v>
      </c>
      <c r="G119" s="47" t="n"/>
      <c r="H119" s="47" t="n"/>
      <c r="I119" s="48" t="n"/>
      <c r="J119" s="48" t="n"/>
      <c r="K119" s="48" t="n"/>
      <c r="L119" s="47" t="n">
        <v>5</v>
      </c>
      <c r="M119" s="47" t="n"/>
      <c r="N119" s="48" t="n"/>
      <c r="O119" s="47" t="n"/>
      <c r="P119" s="48" t="n"/>
      <c r="Q119" s="62" t="n">
        <v>9</v>
      </c>
      <c r="R119" s="47" t="n"/>
      <c r="S119" s="47" t="n">
        <v>7</v>
      </c>
      <c r="T119" s="47" t="n"/>
      <c r="U119" s="47" t="n"/>
      <c r="V119" s="47" t="n">
        <v>8</v>
      </c>
      <c r="W119" s="47" t="n"/>
      <c r="X119" s="47" t="n"/>
    </row>
    <row r="120">
      <c r="A120" s="53" t="inlineStr">
        <is>
          <t>Jeden pokój</t>
        </is>
      </c>
      <c r="B120" s="52" t="n"/>
      <c r="D120" s="51" t="n"/>
      <c r="I120" s="51" t="n"/>
      <c r="J120" s="51" t="n"/>
      <c r="K120" s="51" t="n"/>
      <c r="N120" s="51" t="n"/>
      <c r="P120" s="51" t="n"/>
      <c r="Q120" s="51" t="n"/>
      <c r="V120" s="107" t="n"/>
    </row>
    <row r="121">
      <c r="A121" s="46" t="inlineStr">
        <is>
          <t>Daddio</t>
        </is>
      </c>
      <c r="B121" s="60">
        <f>AVERAGE(C121:Y121)</f>
        <v/>
      </c>
      <c r="C121" s="47" t="n">
        <v>5</v>
      </c>
      <c r="D121" s="48" t="n"/>
      <c r="E121" s="47" t="n"/>
      <c r="F121" s="47" t="n">
        <v>5</v>
      </c>
      <c r="G121" s="47" t="n">
        <v>7</v>
      </c>
      <c r="H121" s="47" t="n">
        <v>7.5</v>
      </c>
      <c r="I121" s="48" t="n"/>
      <c r="J121" s="48" t="n"/>
      <c r="K121" s="48" t="n"/>
      <c r="L121" s="47" t="n">
        <v>7</v>
      </c>
      <c r="M121" s="47" t="n"/>
      <c r="N121" s="48" t="n"/>
      <c r="O121" s="47" t="n"/>
      <c r="P121" s="48" t="n"/>
      <c r="Q121" s="62" t="n">
        <v>7</v>
      </c>
      <c r="R121" s="47" t="n"/>
      <c r="S121" s="47" t="n">
        <v>9</v>
      </c>
      <c r="T121" s="47" t="n"/>
      <c r="U121" s="47" t="n"/>
      <c r="V121" s="47" t="n">
        <v>6</v>
      </c>
      <c r="W121" s="47" t="n"/>
      <c r="X121" s="47" t="n"/>
    </row>
    <row r="122">
      <c r="A122" s="46" t="inlineStr">
        <is>
          <t>12 angry men</t>
        </is>
      </c>
      <c r="B122" s="60">
        <f>AVERAGE(C122:Y122)</f>
        <v/>
      </c>
      <c r="C122" s="47" t="n">
        <v>8.5</v>
      </c>
      <c r="D122" s="48" t="n"/>
      <c r="E122" s="47" t="n"/>
      <c r="F122" s="47" t="n">
        <v>7</v>
      </c>
      <c r="G122" s="47" t="n">
        <v>6</v>
      </c>
      <c r="H122" s="47" t="n">
        <v>9</v>
      </c>
      <c r="I122" s="48" t="n"/>
      <c r="J122" s="48" t="n"/>
      <c r="K122" s="48" t="n"/>
      <c r="L122" s="47" t="n">
        <v>10</v>
      </c>
      <c r="M122" s="47" t="n"/>
      <c r="N122" s="48" t="n"/>
      <c r="O122" s="47" t="n">
        <v>9</v>
      </c>
      <c r="P122" s="48" t="n"/>
      <c r="Q122" s="62" t="n">
        <v>9</v>
      </c>
      <c r="R122" s="47" t="n"/>
      <c r="S122" s="47" t="n">
        <v>9</v>
      </c>
      <c r="T122" s="47" t="n"/>
      <c r="U122" s="47" t="n"/>
      <c r="V122" s="47" t="n">
        <v>9</v>
      </c>
      <c r="W122" s="47" t="n"/>
      <c r="X122" s="47" t="n"/>
    </row>
    <row r="123">
      <c r="A123" s="53" t="inlineStr">
        <is>
          <t>Małpy</t>
        </is>
      </c>
      <c r="B123" s="52" t="n"/>
      <c r="D123" s="51" t="n"/>
      <c r="I123" s="51" t="n"/>
      <c r="J123" s="51" t="n"/>
      <c r="K123" s="51" t="n"/>
      <c r="N123" s="51" t="n"/>
      <c r="P123" s="51" t="n"/>
      <c r="Q123" s="51" t="n"/>
    </row>
    <row r="124">
      <c r="A124" s="46" t="inlineStr">
        <is>
          <t>Małpa (2025)</t>
        </is>
      </c>
      <c r="B124" s="60">
        <f>AVERAGE(C124:Y124)</f>
        <v/>
      </c>
      <c r="C124" s="47" t="n">
        <v>3</v>
      </c>
      <c r="D124" s="48" t="n"/>
      <c r="E124" s="47" t="n"/>
      <c r="F124" s="47" t="n">
        <v>2</v>
      </c>
      <c r="G124" s="47" t="n">
        <v>3.5</v>
      </c>
      <c r="H124" s="47" t="n">
        <v>2</v>
      </c>
      <c r="I124" s="48" t="n"/>
      <c r="J124" s="48" t="n"/>
      <c r="K124" s="48" t="n"/>
      <c r="L124" s="47" t="n">
        <v>2</v>
      </c>
      <c r="M124" s="47" t="n"/>
      <c r="N124" s="48" t="n"/>
      <c r="O124" s="47" t="n"/>
      <c r="P124" s="48" t="n"/>
      <c r="Q124" s="48" t="n"/>
      <c r="R124" s="47" t="n"/>
      <c r="S124" s="47" t="n">
        <v>4.5</v>
      </c>
      <c r="T124" s="47" t="n"/>
      <c r="U124" s="47" t="n"/>
      <c r="V124" s="47" t="n"/>
      <c r="W124" s="47" t="n">
        <v>2</v>
      </c>
      <c r="X124" s="47" t="n"/>
    </row>
    <row r="125">
      <c r="A125" s="46" t="inlineStr">
        <is>
          <t>12 monkeys</t>
        </is>
      </c>
      <c r="B125" s="60">
        <f>AVERAGE(C125:Y125)</f>
        <v/>
      </c>
      <c r="C125" s="47" t="n">
        <v>9</v>
      </c>
      <c r="D125" s="48" t="n"/>
      <c r="E125" s="47" t="n"/>
      <c r="F125" s="47" t="n">
        <v>4</v>
      </c>
      <c r="G125" s="47" t="n">
        <v>6.5</v>
      </c>
      <c r="H125" s="47" t="n">
        <v>4</v>
      </c>
      <c r="I125" s="48" t="n"/>
      <c r="J125" s="48" t="n"/>
      <c r="K125" s="48" t="n"/>
      <c r="L125" s="47" t="n">
        <v>7</v>
      </c>
      <c r="M125" s="47" t="n"/>
      <c r="N125" s="48" t="n"/>
      <c r="O125" s="47" t="n"/>
      <c r="P125" s="48" t="n"/>
      <c r="Q125" s="48" t="n"/>
      <c r="R125" s="47" t="n"/>
      <c r="S125" s="47" t="n">
        <v>6.5</v>
      </c>
      <c r="T125" s="47" t="n"/>
      <c r="U125" s="47" t="n"/>
      <c r="V125" s="47" t="n"/>
      <c r="W125" s="47" t="n">
        <v>4.5</v>
      </c>
      <c r="X125" s="47" t="n"/>
    </row>
    <row r="126">
      <c r="A126" s="53" t="inlineStr">
        <is>
          <t>Barbie</t>
        </is>
      </c>
      <c r="B126" s="52" t="n"/>
      <c r="D126" s="51" t="n"/>
      <c r="I126" s="51" t="n"/>
      <c r="J126" s="51" t="n"/>
      <c r="K126" s="51" t="n"/>
      <c r="N126" s="51" t="n"/>
      <c r="P126" s="51" t="n"/>
      <c r="Q126" s="51" t="n"/>
    </row>
    <row r="127">
      <c r="A127" s="46" t="inlineStr">
        <is>
          <t>Barbie ksieżniczka i żebraczka</t>
        </is>
      </c>
      <c r="B127" s="60">
        <f>AVERAGE(C127:Y127)</f>
        <v/>
      </c>
      <c r="C127" s="47" t="n">
        <v>3</v>
      </c>
      <c r="D127" s="48" t="n"/>
      <c r="E127" s="47" t="n"/>
      <c r="F127" s="47" t="n"/>
      <c r="G127" s="47" t="n"/>
      <c r="H127" s="47" t="n">
        <v>3</v>
      </c>
      <c r="I127" s="48" t="n"/>
      <c r="J127" s="48" t="n"/>
      <c r="K127" s="48" t="n"/>
      <c r="L127" s="47" t="n">
        <v>2</v>
      </c>
      <c r="M127" s="47" t="n"/>
      <c r="N127" s="48" t="n"/>
      <c r="O127" s="47" t="n"/>
      <c r="P127" s="48" t="n"/>
      <c r="Q127" s="48" t="n"/>
      <c r="R127" s="47" t="n"/>
      <c r="S127" s="47" t="n">
        <v>3</v>
      </c>
      <c r="T127" s="47" t="n"/>
      <c r="U127" s="47" t="n"/>
      <c r="V127" s="47" t="n">
        <v>3.5</v>
      </c>
      <c r="W127" s="47" t="n"/>
      <c r="X127" s="47" t="n"/>
    </row>
    <row r="128">
      <c r="A128" s="46" t="inlineStr">
        <is>
          <t>Barbie i diamentowy pałac</t>
        </is>
      </c>
      <c r="B128" s="60">
        <f>AVERAGE(C128:Y128)</f>
        <v/>
      </c>
      <c r="C128" s="47" t="n">
        <v>2</v>
      </c>
      <c r="D128" s="48" t="n"/>
      <c r="E128" s="47" t="n"/>
      <c r="F128" s="47" t="n"/>
      <c r="G128" s="47" t="n"/>
      <c r="H128" s="47" t="n">
        <v>1</v>
      </c>
      <c r="I128" s="48" t="n"/>
      <c r="J128" s="48" t="n"/>
      <c r="K128" s="48" t="n"/>
      <c r="L128" s="47" t="n">
        <v>2</v>
      </c>
      <c r="M128" s="47" t="n"/>
      <c r="N128" s="48" t="n"/>
      <c r="O128" s="47" t="n"/>
      <c r="P128" s="48" t="n"/>
      <c r="Q128" s="48" t="n"/>
      <c r="R128" s="47" t="n"/>
      <c r="S128" s="47" t="n">
        <v>3</v>
      </c>
      <c r="T128" s="47" t="n"/>
      <c r="U128" s="47" t="n"/>
      <c r="V128" s="47" t="n">
        <v>4</v>
      </c>
      <c r="W128" s="47" t="n"/>
      <c r="X128" s="47" t="n"/>
    </row>
    <row r="129">
      <c r="A129" s="53" t="inlineStr">
        <is>
          <t>Tajni agenci</t>
        </is>
      </c>
      <c r="B129" s="52" t="n"/>
      <c r="D129" s="51" t="n"/>
      <c r="I129" s="51" t="n"/>
      <c r="J129" s="51" t="n"/>
      <c r="K129" s="51" t="n"/>
      <c r="N129" s="51" t="n"/>
      <c r="P129" s="51" t="n"/>
      <c r="Q129" s="51" t="n"/>
    </row>
    <row r="130">
      <c r="A130" s="46" t="inlineStr">
        <is>
          <t>Pan i Pani Smith</t>
        </is>
      </c>
      <c r="B130" s="60">
        <f>AVERAGE(C130:Y130)</f>
        <v/>
      </c>
      <c r="C130" s="62" t="n">
        <v>6</v>
      </c>
      <c r="D130" s="62" t="n"/>
      <c r="E130" s="62" t="n"/>
      <c r="F130" s="62" t="n">
        <v>4</v>
      </c>
      <c r="G130" s="62" t="n">
        <v>6.5</v>
      </c>
      <c r="H130" s="62" t="n">
        <v>4</v>
      </c>
      <c r="I130" s="62" t="n"/>
      <c r="J130" s="62" t="n"/>
      <c r="K130" s="62" t="n"/>
      <c r="L130" s="62" t="n">
        <v>4</v>
      </c>
      <c r="M130" s="62" t="n"/>
      <c r="N130" s="62" t="n"/>
      <c r="O130" s="62" t="n"/>
      <c r="P130" s="62" t="n"/>
      <c r="Q130" s="62" t="n">
        <v>7</v>
      </c>
      <c r="R130" s="62" t="n"/>
      <c r="S130" s="62" t="n">
        <v>7.5</v>
      </c>
      <c r="T130" s="62" t="n"/>
      <c r="U130" s="62" t="n"/>
      <c r="V130" s="62" t="n">
        <v>5</v>
      </c>
      <c r="W130" s="62" t="n">
        <v>4</v>
      </c>
      <c r="X130" s="62" t="n"/>
    </row>
    <row r="131">
      <c r="A131" s="46" t="inlineStr">
        <is>
          <t>Man from U.N.C.L.E</t>
        </is>
      </c>
      <c r="B131" s="60">
        <f>AVERAGE(C131:Y131)</f>
        <v/>
      </c>
      <c r="C131" s="62" t="n">
        <v>9</v>
      </c>
      <c r="D131" s="62" t="n"/>
      <c r="E131" s="62" t="n"/>
      <c r="F131" s="62" t="n">
        <v>8</v>
      </c>
      <c r="G131" s="62" t="n">
        <v>8</v>
      </c>
      <c r="H131" s="62" t="n">
        <v>8.5</v>
      </c>
      <c r="I131" s="62" t="n"/>
      <c r="J131" s="62" t="n"/>
      <c r="K131" s="62" t="n"/>
      <c r="L131" s="62" t="n">
        <v>5</v>
      </c>
      <c r="M131" s="62" t="n"/>
      <c r="N131" s="62" t="n"/>
      <c r="O131" s="62" t="n"/>
      <c r="P131" s="62" t="n"/>
      <c r="Q131" s="62" t="n">
        <v>9</v>
      </c>
      <c r="R131" s="62" t="n"/>
      <c r="S131" s="62" t="n">
        <v>8</v>
      </c>
      <c r="T131" s="62" t="n"/>
      <c r="U131" s="62" t="n"/>
      <c r="V131" s="62" t="n">
        <v>9</v>
      </c>
      <c r="W131" s="62" t="n">
        <v>10</v>
      </c>
      <c r="X131" s="62" t="n"/>
    </row>
    <row r="132">
      <c r="A132" s="107" t="inlineStr">
        <is>
          <t>Czy widzedziałeś że</t>
        </is>
      </c>
      <c r="B132" s="52" t="n"/>
      <c r="D132" s="51" t="n"/>
      <c r="I132" s="51" t="n"/>
      <c r="J132" s="51" t="n"/>
      <c r="K132" s="51" t="n"/>
      <c r="N132" s="51" t="n"/>
      <c r="P132" s="51" t="n"/>
      <c r="Q132" s="51" t="n"/>
    </row>
    <row r="133">
      <c r="A133" s="46" t="inlineStr">
        <is>
          <t>Midnight Cowboy</t>
        </is>
      </c>
      <c r="B133" s="60">
        <f>AVERAGE(C133:Y133)</f>
        <v/>
      </c>
      <c r="C133" s="62" t="n">
        <v>8</v>
      </c>
      <c r="D133" s="62" t="n"/>
      <c r="E133" s="62" t="n">
        <v>6.5</v>
      </c>
      <c r="F133" s="62" t="n">
        <v>7</v>
      </c>
      <c r="G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>
        <v>7</v>
      </c>
      <c r="T133" s="62" t="n"/>
      <c r="U133" s="62" t="n"/>
      <c r="V133" s="62" t="n">
        <v>8</v>
      </c>
      <c r="W133" s="62" t="n">
        <v>5.5</v>
      </c>
      <c r="X133" s="62" t="n"/>
    </row>
    <row r="134">
      <c r="A134" s="107" t="inlineStr">
        <is>
          <t>Kot w butach</t>
        </is>
      </c>
      <c r="B134" s="60" t="n"/>
      <c r="D134" s="51" t="n"/>
      <c r="I134" s="51" t="n"/>
      <c r="J134" s="51" t="n"/>
      <c r="K134" s="51" t="n"/>
      <c r="N134" s="51" t="n"/>
      <c r="P134" s="51" t="n"/>
      <c r="Q134" s="51" t="n"/>
    </row>
    <row r="135">
      <c r="A135" s="46" t="inlineStr">
        <is>
          <t>Kot w butach</t>
        </is>
      </c>
      <c r="B135" s="60">
        <f>AVERAGE(C135:Y135)</f>
        <v/>
      </c>
      <c r="C135" s="62" t="n">
        <v>8</v>
      </c>
      <c r="D135" s="62" t="n"/>
      <c r="E135" s="62" t="n">
        <v>9</v>
      </c>
      <c r="F135" s="62" t="n">
        <v>4</v>
      </c>
      <c r="G135" s="62" t="n"/>
      <c r="H135" s="62" t="n">
        <v>7</v>
      </c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>
        <v>8.5</v>
      </c>
      <c r="T135" s="62" t="n"/>
      <c r="U135" s="62" t="n"/>
      <c r="V135" s="62" t="n">
        <v>6</v>
      </c>
      <c r="W135" s="62" t="n">
        <v>8</v>
      </c>
      <c r="X135" s="62" t="n"/>
    </row>
    <row r="136">
      <c r="A136" s="46" t="inlineStr">
        <is>
          <t>Ostatnie życzenie</t>
        </is>
      </c>
      <c r="B136" s="60">
        <f>AVERAGE(C136:Y136)</f>
        <v/>
      </c>
      <c r="C136" s="62" t="n">
        <v>9</v>
      </c>
      <c r="D136" s="62" t="n"/>
      <c r="E136" s="62" t="n">
        <v>10</v>
      </c>
      <c r="F136" s="62" t="n">
        <v>6.5</v>
      </c>
      <c r="G136" s="62" t="n"/>
      <c r="H136" s="62" t="n">
        <v>10</v>
      </c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>
        <v>9</v>
      </c>
      <c r="T136" s="62" t="n"/>
      <c r="U136" s="62" t="n"/>
      <c r="V136" s="62" t="n">
        <v>9.5</v>
      </c>
      <c r="W136" s="62" t="n">
        <v>8.5</v>
      </c>
      <c r="X136" s="62" t="n"/>
    </row>
    <row r="137">
      <c r="B137" s="59" t="n"/>
      <c r="D137" s="51" t="n"/>
      <c r="I137" s="51" t="n"/>
      <c r="J137" s="51" t="n"/>
      <c r="K137" s="51" t="n"/>
      <c r="N137" s="51" t="n"/>
      <c r="P137" s="51" t="n"/>
      <c r="Q137" s="51" t="n"/>
    </row>
    <row r="138">
      <c r="B138" s="59" t="n"/>
      <c r="D138" s="51" t="n"/>
      <c r="I138" s="51" t="n"/>
      <c r="J138" s="51" t="n"/>
      <c r="K138" s="51" t="n"/>
      <c r="N138" s="51" t="n"/>
      <c r="P138" s="51" t="n"/>
      <c r="Q138" s="51" t="n"/>
    </row>
    <row r="139">
      <c r="B139" s="59" t="n"/>
      <c r="D139" s="51" t="n"/>
      <c r="I139" s="51" t="n"/>
      <c r="J139" s="51" t="n"/>
      <c r="K139" s="51" t="n"/>
      <c r="N139" s="51" t="n"/>
      <c r="P139" s="51" t="n"/>
      <c r="Q139" s="51" t="n"/>
    </row>
    <row r="140">
      <c r="B140" s="59" t="n"/>
      <c r="D140" s="51" t="n"/>
      <c r="I140" s="51" t="n"/>
      <c r="J140" s="51" t="n"/>
      <c r="K140" s="51" t="n"/>
      <c r="N140" s="51" t="n"/>
      <c r="P140" s="51" t="n"/>
      <c r="Q140" s="51" t="n"/>
    </row>
    <row r="141">
      <c r="B141" s="59" t="n"/>
      <c r="D141" s="51" t="n"/>
      <c r="I141" s="51" t="n"/>
      <c r="J141" s="51" t="n"/>
      <c r="K141" s="51" t="n"/>
      <c r="N141" s="51" t="n"/>
      <c r="P141" s="51" t="n"/>
      <c r="Q141" s="51" t="n"/>
    </row>
    <row r="142">
      <c r="B142" s="59" t="n"/>
      <c r="D142" s="51" t="n"/>
      <c r="I142" s="51" t="n"/>
      <c r="J142" s="51" t="n"/>
      <c r="K142" s="51" t="n"/>
      <c r="N142" s="51" t="n"/>
      <c r="P142" s="51" t="n"/>
      <c r="Q142" s="51" t="n"/>
    </row>
    <row r="143">
      <c r="B143" s="59" t="n"/>
      <c r="D143" s="51" t="n"/>
      <c r="I143" s="51" t="n"/>
      <c r="J143" s="51" t="n"/>
      <c r="K143" s="51" t="n"/>
      <c r="N143" s="51" t="n"/>
      <c r="P143" s="51" t="n"/>
      <c r="Q143" s="51" t="n"/>
    </row>
    <row r="144">
      <c r="B144" s="59" t="n"/>
      <c r="D144" s="51" t="n"/>
      <c r="I144" s="51" t="n"/>
      <c r="J144" s="51" t="n"/>
      <c r="K144" s="51" t="n"/>
      <c r="N144" s="51" t="n"/>
      <c r="P144" s="51" t="n"/>
      <c r="Q144" s="51" t="n"/>
    </row>
    <row r="145">
      <c r="B145" s="59" t="n"/>
      <c r="D145" s="51" t="n"/>
      <c r="I145" s="51" t="n"/>
      <c r="J145" s="51" t="n"/>
      <c r="K145" s="51" t="n"/>
      <c r="N145" s="51" t="n"/>
      <c r="P145" s="51" t="n"/>
      <c r="Q145" s="51" t="n"/>
    </row>
    <row r="146">
      <c r="B146" s="59" t="n"/>
      <c r="D146" s="51" t="n"/>
      <c r="I146" s="51" t="n"/>
      <c r="J146" s="51" t="n"/>
      <c r="K146" s="51" t="n"/>
      <c r="N146" s="51" t="n"/>
      <c r="P146" s="51" t="n"/>
      <c r="Q146" s="51" t="n"/>
    </row>
    <row r="147">
      <c r="B147" s="59" t="n"/>
      <c r="D147" s="51" t="n"/>
      <c r="I147" s="51" t="n"/>
      <c r="J147" s="51" t="n"/>
      <c r="K147" s="51" t="n"/>
      <c r="N147" s="51" t="n"/>
      <c r="P147" s="51" t="n"/>
      <c r="Q147" s="51" t="n"/>
    </row>
    <row r="148">
      <c r="B148" s="59" t="n"/>
      <c r="D148" s="51" t="n"/>
      <c r="I148" s="51" t="n"/>
      <c r="J148" s="51" t="n"/>
      <c r="K148" s="51" t="n"/>
      <c r="N148" s="51" t="n"/>
      <c r="P148" s="51" t="n"/>
      <c r="Q148" s="51" t="n"/>
    </row>
    <row r="149">
      <c r="B149" s="59" t="n"/>
      <c r="D149" s="51" t="n"/>
      <c r="I149" s="51" t="n"/>
      <c r="J149" s="51" t="n"/>
      <c r="K149" s="51" t="n"/>
      <c r="N149" s="51" t="n"/>
      <c r="P149" s="51" t="n"/>
      <c r="Q149" s="51" t="n"/>
    </row>
    <row r="150">
      <c r="B150" s="59" t="n"/>
      <c r="D150" s="51" t="n"/>
      <c r="I150" s="51" t="n"/>
      <c r="J150" s="51" t="n"/>
      <c r="K150" s="51" t="n"/>
      <c r="N150" s="51" t="n"/>
      <c r="P150" s="51" t="n"/>
      <c r="Q150" s="51" t="n"/>
    </row>
    <row r="151">
      <c r="B151" s="59" t="n"/>
      <c r="D151" s="51" t="n"/>
      <c r="I151" s="51" t="n"/>
      <c r="J151" s="51" t="n"/>
      <c r="K151" s="51" t="n"/>
      <c r="N151" s="51" t="n"/>
      <c r="P151" s="51" t="n"/>
      <c r="Q151" s="51" t="n"/>
    </row>
    <row r="152">
      <c r="B152" s="59" t="n"/>
      <c r="D152" s="51" t="n"/>
      <c r="I152" s="51" t="n"/>
      <c r="J152" s="51" t="n"/>
      <c r="K152" s="51" t="n"/>
      <c r="N152" s="51" t="n"/>
      <c r="P152" s="51" t="n"/>
      <c r="Q152" s="51" t="n"/>
    </row>
    <row r="153">
      <c r="B153" s="59" t="n"/>
      <c r="D153" s="51" t="n"/>
      <c r="I153" s="51" t="n"/>
      <c r="J153" s="51" t="n"/>
      <c r="K153" s="51" t="n"/>
      <c r="N153" s="51" t="n"/>
      <c r="P153" s="51" t="n"/>
      <c r="Q153" s="51" t="n"/>
    </row>
    <row r="154">
      <c r="B154" s="59" t="n"/>
      <c r="D154" s="51" t="n"/>
      <c r="I154" s="51" t="n"/>
      <c r="J154" s="51" t="n"/>
      <c r="K154" s="51" t="n"/>
      <c r="N154" s="51" t="n"/>
      <c r="P154" s="51" t="n"/>
      <c r="Q154" s="51" t="n"/>
    </row>
    <row r="155">
      <c r="B155" s="59" t="n"/>
      <c r="D155" s="51" t="n"/>
      <c r="I155" s="51" t="n"/>
      <c r="J155" s="51" t="n"/>
      <c r="K155" s="51" t="n"/>
      <c r="N155" s="51" t="n"/>
      <c r="P155" s="51" t="n"/>
      <c r="Q155" s="51" t="n"/>
    </row>
    <row r="156">
      <c r="B156" s="59" t="n"/>
      <c r="D156" s="51" t="n"/>
      <c r="I156" s="51" t="n"/>
      <c r="J156" s="51" t="n"/>
      <c r="K156" s="51" t="n"/>
      <c r="N156" s="51" t="n"/>
      <c r="P156" s="51" t="n"/>
      <c r="Q156" s="51" t="n"/>
    </row>
    <row r="157">
      <c r="B157" s="59" t="n"/>
      <c r="D157" s="51" t="n"/>
      <c r="I157" s="51" t="n"/>
      <c r="J157" s="51" t="n"/>
      <c r="K157" s="51" t="n"/>
      <c r="N157" s="51" t="n"/>
      <c r="P157" s="51" t="n"/>
      <c r="Q157" s="51" t="n"/>
    </row>
    <row r="158">
      <c r="B158" s="59" t="n"/>
      <c r="D158" s="51" t="n"/>
      <c r="I158" s="51" t="n"/>
      <c r="J158" s="51" t="n"/>
      <c r="K158" s="51" t="n"/>
      <c r="N158" s="51" t="n"/>
      <c r="P158" s="51" t="n"/>
      <c r="Q158" s="51" t="n"/>
    </row>
    <row r="159">
      <c r="B159" s="59" t="n"/>
      <c r="D159" s="51" t="n"/>
      <c r="I159" s="51" t="n"/>
      <c r="J159" s="51" t="n"/>
      <c r="K159" s="51" t="n"/>
      <c r="N159" s="51" t="n"/>
      <c r="P159" s="51" t="n"/>
      <c r="Q159" s="51" t="n"/>
    </row>
    <row r="160">
      <c r="B160" s="59" t="n"/>
      <c r="D160" s="51" t="n"/>
      <c r="I160" s="51" t="n"/>
      <c r="J160" s="51" t="n"/>
      <c r="K160" s="51" t="n"/>
      <c r="N160" s="51" t="n"/>
      <c r="P160" s="51" t="n"/>
      <c r="Q160" s="51" t="n"/>
    </row>
    <row r="161">
      <c r="B161" s="59" t="n"/>
      <c r="D161" s="51" t="n"/>
      <c r="I161" s="51" t="n"/>
      <c r="J161" s="51" t="n"/>
      <c r="K161" s="51" t="n"/>
      <c r="N161" s="51" t="n"/>
      <c r="P161" s="51" t="n"/>
      <c r="Q161" s="51" t="n"/>
    </row>
    <row r="162">
      <c r="B162" s="59" t="n"/>
      <c r="D162" s="51" t="n"/>
      <c r="I162" s="51" t="n"/>
      <c r="J162" s="51" t="n"/>
      <c r="K162" s="51" t="n"/>
      <c r="N162" s="51" t="n"/>
      <c r="P162" s="51" t="n"/>
      <c r="Q162" s="51" t="n"/>
    </row>
    <row r="163">
      <c r="B163" s="59" t="n"/>
      <c r="D163" s="51" t="n"/>
      <c r="I163" s="51" t="n"/>
      <c r="J163" s="51" t="n"/>
      <c r="K163" s="51" t="n"/>
      <c r="N163" s="51" t="n"/>
      <c r="P163" s="51" t="n"/>
      <c r="Q163" s="51" t="n"/>
    </row>
    <row r="164">
      <c r="B164" s="59" t="n"/>
      <c r="D164" s="51" t="n"/>
      <c r="I164" s="51" t="n"/>
      <c r="J164" s="51" t="n"/>
      <c r="K164" s="51" t="n"/>
      <c r="N164" s="51" t="n"/>
      <c r="P164" s="51" t="n"/>
      <c r="Q164" s="51" t="n"/>
    </row>
    <row r="165">
      <c r="B165" s="59" t="n"/>
      <c r="D165" s="51" t="n"/>
      <c r="I165" s="51" t="n"/>
      <c r="J165" s="51" t="n"/>
      <c r="K165" s="51" t="n"/>
      <c r="N165" s="51" t="n"/>
      <c r="P165" s="51" t="n"/>
      <c r="Q165" s="51" t="n"/>
    </row>
    <row r="166">
      <c r="B166" s="59" t="n"/>
      <c r="D166" s="51" t="n"/>
      <c r="I166" s="51" t="n"/>
      <c r="J166" s="51" t="n"/>
      <c r="K166" s="51" t="n"/>
      <c r="N166" s="51" t="n"/>
      <c r="P166" s="51" t="n"/>
      <c r="Q166" s="51" t="n"/>
    </row>
    <row r="167">
      <c r="B167" s="59" t="n"/>
      <c r="D167" s="51" t="n"/>
      <c r="I167" s="51" t="n"/>
      <c r="J167" s="51" t="n"/>
      <c r="K167" s="51" t="n"/>
      <c r="N167" s="51" t="n"/>
      <c r="P167" s="51" t="n"/>
      <c r="Q167" s="51" t="n"/>
    </row>
    <row r="168">
      <c r="B168" s="59" t="n"/>
      <c r="D168" s="51" t="n"/>
      <c r="I168" s="51" t="n"/>
      <c r="J168" s="51" t="n"/>
      <c r="K168" s="51" t="n"/>
      <c r="N168" s="51" t="n"/>
      <c r="P168" s="51" t="n"/>
      <c r="Q168" s="51" t="n"/>
    </row>
    <row r="169">
      <c r="B169" s="59" t="n"/>
      <c r="D169" s="51" t="n"/>
      <c r="I169" s="51" t="n"/>
      <c r="J169" s="51" t="n"/>
      <c r="K169" s="51" t="n"/>
      <c r="N169" s="51" t="n"/>
      <c r="P169" s="51" t="n"/>
      <c r="Q169" s="51" t="n"/>
    </row>
    <row r="170">
      <c r="B170" s="59" t="n"/>
      <c r="D170" s="51" t="n"/>
      <c r="I170" s="51" t="n"/>
      <c r="J170" s="51" t="n"/>
      <c r="K170" s="51" t="n"/>
      <c r="N170" s="51" t="n"/>
      <c r="P170" s="51" t="n"/>
      <c r="Q170" s="51" t="n"/>
    </row>
    <row r="171">
      <c r="B171" s="59" t="n"/>
      <c r="D171" s="51" t="n"/>
      <c r="I171" s="51" t="n"/>
      <c r="J171" s="51" t="n"/>
      <c r="K171" s="51" t="n"/>
      <c r="N171" s="51" t="n"/>
      <c r="P171" s="51" t="n"/>
      <c r="Q171" s="51" t="n"/>
    </row>
    <row r="172">
      <c r="B172" s="59" t="n"/>
      <c r="D172" s="51" t="n"/>
      <c r="I172" s="51" t="n"/>
      <c r="J172" s="51" t="n"/>
      <c r="K172" s="51" t="n"/>
      <c r="N172" s="51" t="n"/>
      <c r="P172" s="51" t="n"/>
      <c r="Q172" s="51" t="n"/>
    </row>
    <row r="173">
      <c r="B173" s="59" t="n"/>
      <c r="D173" s="51" t="n"/>
      <c r="I173" s="51" t="n"/>
      <c r="J173" s="51" t="n"/>
      <c r="K173" s="51" t="n"/>
      <c r="N173" s="51" t="n"/>
      <c r="P173" s="51" t="n"/>
      <c r="Q173" s="51" t="n"/>
    </row>
    <row r="174">
      <c r="B174" s="59" t="n"/>
      <c r="D174" s="51" t="n"/>
      <c r="I174" s="51" t="n"/>
      <c r="J174" s="51" t="n"/>
      <c r="K174" s="51" t="n"/>
      <c r="N174" s="51" t="n"/>
      <c r="P174" s="51" t="n"/>
      <c r="Q174" s="51" t="n"/>
    </row>
    <row r="175">
      <c r="B175" s="59" t="n"/>
      <c r="D175" s="51" t="n"/>
      <c r="I175" s="51" t="n"/>
      <c r="J175" s="51" t="n"/>
      <c r="K175" s="51" t="n"/>
      <c r="N175" s="51" t="n"/>
      <c r="P175" s="51" t="n"/>
      <c r="Q175" s="51" t="n"/>
    </row>
    <row r="176">
      <c r="B176" s="59" t="n"/>
      <c r="D176" s="51" t="n"/>
      <c r="I176" s="51" t="n"/>
      <c r="J176" s="51" t="n"/>
      <c r="K176" s="51" t="n"/>
      <c r="N176" s="51" t="n"/>
      <c r="P176" s="51" t="n"/>
      <c r="Q176" s="51" t="n"/>
    </row>
    <row r="177">
      <c r="B177" s="59" t="n"/>
      <c r="D177" s="51" t="n"/>
      <c r="I177" s="51" t="n"/>
      <c r="J177" s="51" t="n"/>
      <c r="K177" s="51" t="n"/>
      <c r="N177" s="51" t="n"/>
      <c r="P177" s="51" t="n"/>
      <c r="Q177" s="51" t="n"/>
    </row>
    <row r="178">
      <c r="B178" s="59" t="n"/>
      <c r="D178" s="51" t="n"/>
      <c r="I178" s="51" t="n"/>
      <c r="J178" s="51" t="n"/>
      <c r="K178" s="51" t="n"/>
      <c r="N178" s="51" t="n"/>
      <c r="P178" s="51" t="n"/>
      <c r="Q178" s="51" t="n"/>
    </row>
    <row r="179">
      <c r="B179" s="59" t="n"/>
      <c r="D179" s="51" t="n"/>
      <c r="I179" s="51" t="n"/>
      <c r="J179" s="51" t="n"/>
      <c r="K179" s="51" t="n"/>
      <c r="N179" s="51" t="n"/>
      <c r="P179" s="51" t="n"/>
      <c r="Q179" s="51" t="n"/>
    </row>
    <row r="180">
      <c r="B180" s="59" t="n"/>
      <c r="D180" s="51" t="n"/>
      <c r="I180" s="51" t="n"/>
      <c r="J180" s="51" t="n"/>
      <c r="K180" s="51" t="n"/>
      <c r="N180" s="51" t="n"/>
      <c r="P180" s="51" t="n"/>
      <c r="Q180" s="51" t="n"/>
    </row>
    <row r="181">
      <c r="B181" s="59" t="n"/>
      <c r="D181" s="51" t="n"/>
      <c r="I181" s="51" t="n"/>
      <c r="J181" s="51" t="n"/>
      <c r="K181" s="51" t="n"/>
      <c r="N181" s="51" t="n"/>
      <c r="P181" s="51" t="n"/>
      <c r="Q181" s="51" t="n"/>
    </row>
    <row r="182">
      <c r="B182" s="59" t="n"/>
      <c r="D182" s="51" t="n"/>
      <c r="I182" s="51" t="n"/>
      <c r="J182" s="51" t="n"/>
      <c r="K182" s="51" t="n"/>
      <c r="N182" s="51" t="n"/>
      <c r="P182" s="51" t="n"/>
      <c r="Q182" s="51" t="n"/>
    </row>
    <row r="183">
      <c r="B183" s="59" t="n"/>
      <c r="D183" s="51" t="n"/>
      <c r="I183" s="51" t="n"/>
      <c r="J183" s="51" t="n"/>
      <c r="K183" s="51" t="n"/>
      <c r="N183" s="51" t="n"/>
      <c r="P183" s="51" t="n"/>
      <c r="Q183" s="51" t="n"/>
    </row>
    <row r="184">
      <c r="B184" s="59" t="n"/>
      <c r="D184" s="51" t="n"/>
      <c r="I184" s="51" t="n"/>
      <c r="J184" s="51" t="n"/>
      <c r="K184" s="51" t="n"/>
      <c r="N184" s="51" t="n"/>
      <c r="P184" s="51" t="n"/>
      <c r="Q184" s="51" t="n"/>
    </row>
    <row r="185">
      <c r="B185" s="59" t="n"/>
      <c r="D185" s="51" t="n"/>
      <c r="I185" s="51" t="n"/>
      <c r="J185" s="51" t="n"/>
      <c r="K185" s="51" t="n"/>
      <c r="N185" s="51" t="n"/>
      <c r="P185" s="51" t="n"/>
      <c r="Q185" s="51" t="n"/>
    </row>
    <row r="186">
      <c r="B186" s="59" t="n"/>
      <c r="D186" s="51" t="n"/>
      <c r="I186" s="51" t="n"/>
      <c r="J186" s="51" t="n"/>
      <c r="K186" s="51" t="n"/>
      <c r="N186" s="51" t="n"/>
      <c r="P186" s="51" t="n"/>
      <c r="Q186" s="51" t="n"/>
    </row>
    <row r="187">
      <c r="B187" s="59" t="n"/>
      <c r="D187" s="51" t="n"/>
      <c r="I187" s="51" t="n"/>
      <c r="J187" s="51" t="n"/>
      <c r="K187" s="51" t="n"/>
      <c r="N187" s="51" t="n"/>
      <c r="P187" s="51" t="n"/>
      <c r="Q187" s="51" t="n"/>
    </row>
    <row r="188">
      <c r="B188" s="59" t="n"/>
      <c r="D188" s="51" t="n"/>
      <c r="I188" s="51" t="n"/>
      <c r="J188" s="51" t="n"/>
      <c r="K188" s="51" t="n"/>
      <c r="N188" s="51" t="n"/>
      <c r="P188" s="51" t="n"/>
      <c r="Q188" s="51" t="n"/>
    </row>
    <row r="189">
      <c r="B189" s="59" t="n"/>
      <c r="D189" s="51" t="n"/>
      <c r="I189" s="51" t="n"/>
      <c r="J189" s="51" t="n"/>
      <c r="K189" s="51" t="n"/>
      <c r="N189" s="51" t="n"/>
      <c r="P189" s="51" t="n"/>
      <c r="Q189" s="51" t="n"/>
    </row>
    <row r="190">
      <c r="B190" s="59" t="n"/>
      <c r="D190" s="51" t="n"/>
      <c r="I190" s="51" t="n"/>
      <c r="J190" s="51" t="n"/>
      <c r="K190" s="51" t="n"/>
      <c r="N190" s="51" t="n"/>
      <c r="P190" s="51" t="n"/>
      <c r="Q190" s="51" t="n"/>
    </row>
    <row r="191">
      <c r="B191" s="59" t="n"/>
      <c r="D191" s="51" t="n"/>
      <c r="I191" s="51" t="n"/>
      <c r="J191" s="51" t="n"/>
      <c r="K191" s="51" t="n"/>
      <c r="N191" s="51" t="n"/>
      <c r="P191" s="51" t="n"/>
      <c r="Q191" s="51" t="n"/>
    </row>
    <row r="192">
      <c r="B192" s="59" t="n"/>
      <c r="D192" s="51" t="n"/>
      <c r="I192" s="51" t="n"/>
      <c r="J192" s="51" t="n"/>
      <c r="K192" s="51" t="n"/>
      <c r="N192" s="51" t="n"/>
      <c r="P192" s="51" t="n"/>
      <c r="Q192" s="51" t="n"/>
    </row>
    <row r="193">
      <c r="B193" s="59" t="n"/>
      <c r="D193" s="51" t="n"/>
      <c r="I193" s="51" t="n"/>
      <c r="J193" s="51" t="n"/>
      <c r="K193" s="51" t="n"/>
      <c r="N193" s="51" t="n"/>
      <c r="P193" s="51" t="n"/>
      <c r="Q193" s="51" t="n"/>
    </row>
    <row r="194">
      <c r="B194" s="59" t="n"/>
      <c r="D194" s="51" t="n"/>
      <c r="I194" s="51" t="n"/>
      <c r="J194" s="51" t="n"/>
      <c r="K194" s="51" t="n"/>
      <c r="N194" s="51" t="n"/>
      <c r="P194" s="51" t="n"/>
      <c r="Q194" s="51" t="n"/>
    </row>
    <row r="195">
      <c r="B195" s="59" t="n"/>
      <c r="D195" s="51" t="n"/>
      <c r="I195" s="51" t="n"/>
      <c r="J195" s="51" t="n"/>
      <c r="K195" s="51" t="n"/>
      <c r="N195" s="51" t="n"/>
      <c r="P195" s="51" t="n"/>
      <c r="Q195" s="51" t="n"/>
    </row>
    <row r="196">
      <c r="B196" s="59" t="n"/>
      <c r="D196" s="51" t="n"/>
      <c r="I196" s="51" t="n"/>
      <c r="J196" s="51" t="n"/>
      <c r="K196" s="51" t="n"/>
      <c r="N196" s="51" t="n"/>
      <c r="P196" s="51" t="n"/>
      <c r="Q196" s="51" t="n"/>
    </row>
    <row r="197">
      <c r="B197" s="59" t="n"/>
      <c r="D197" s="51" t="n"/>
      <c r="I197" s="51" t="n"/>
      <c r="J197" s="51" t="n"/>
      <c r="K197" s="51" t="n"/>
      <c r="N197" s="51" t="n"/>
      <c r="P197" s="51" t="n"/>
      <c r="Q197" s="51" t="n"/>
    </row>
    <row r="198">
      <c r="B198" s="59" t="n"/>
      <c r="D198" s="51" t="n"/>
      <c r="I198" s="51" t="n"/>
      <c r="J198" s="51" t="n"/>
      <c r="K198" s="51" t="n"/>
      <c r="N198" s="51" t="n"/>
      <c r="P198" s="51" t="n"/>
      <c r="Q198" s="51" t="n"/>
    </row>
    <row r="199">
      <c r="B199" s="59" t="n"/>
      <c r="D199" s="51" t="n"/>
      <c r="I199" s="51" t="n"/>
      <c r="J199" s="51" t="n"/>
      <c r="K199" s="51" t="n"/>
      <c r="N199" s="51" t="n"/>
      <c r="P199" s="51" t="n"/>
      <c r="Q199" s="51" t="n"/>
    </row>
    <row r="200">
      <c r="B200" s="59" t="n"/>
      <c r="D200" s="51" t="n"/>
      <c r="I200" s="51" t="n"/>
      <c r="J200" s="51" t="n"/>
      <c r="K200" s="51" t="n"/>
      <c r="N200" s="51" t="n"/>
      <c r="P200" s="51" t="n"/>
      <c r="Q200" s="51" t="n"/>
    </row>
    <row r="201">
      <c r="B201" s="59" t="n"/>
      <c r="D201" s="51" t="n"/>
      <c r="I201" s="51" t="n"/>
      <c r="J201" s="51" t="n"/>
      <c r="K201" s="51" t="n"/>
      <c r="N201" s="51" t="n"/>
      <c r="P201" s="51" t="n"/>
      <c r="Q201" s="51" t="n"/>
    </row>
    <row r="202">
      <c r="B202" s="59" t="n"/>
      <c r="D202" s="51" t="n"/>
      <c r="I202" s="51" t="n"/>
      <c r="J202" s="51" t="n"/>
      <c r="K202" s="51" t="n"/>
      <c r="N202" s="51" t="n"/>
      <c r="P202" s="51" t="n"/>
      <c r="Q202" s="51" t="n"/>
    </row>
    <row r="203">
      <c r="B203" s="59" t="n"/>
      <c r="D203" s="51" t="n"/>
      <c r="I203" s="51" t="n"/>
      <c r="J203" s="51" t="n"/>
      <c r="K203" s="51" t="n"/>
      <c r="N203" s="51" t="n"/>
      <c r="P203" s="51" t="n"/>
      <c r="Q203" s="51" t="n"/>
    </row>
    <row r="204">
      <c r="B204" s="59" t="n"/>
      <c r="D204" s="51" t="n"/>
      <c r="I204" s="51" t="n"/>
      <c r="J204" s="51" t="n"/>
      <c r="K204" s="51" t="n"/>
      <c r="N204" s="51" t="n"/>
      <c r="P204" s="51" t="n"/>
      <c r="Q204" s="51" t="n"/>
    </row>
    <row r="205">
      <c r="B205" s="59" t="n"/>
      <c r="D205" s="51" t="n"/>
      <c r="I205" s="51" t="n"/>
      <c r="J205" s="51" t="n"/>
      <c r="K205" s="51" t="n"/>
      <c r="N205" s="51" t="n"/>
      <c r="P205" s="51" t="n"/>
      <c r="Q205" s="51" t="n"/>
    </row>
    <row r="206">
      <c r="B206" s="59" t="n"/>
      <c r="D206" s="51" t="n"/>
      <c r="I206" s="51" t="n"/>
      <c r="J206" s="51" t="n"/>
      <c r="K206" s="51" t="n"/>
      <c r="N206" s="51" t="n"/>
      <c r="P206" s="51" t="n"/>
      <c r="Q206" s="51" t="n"/>
    </row>
    <row r="207">
      <c r="B207" s="59" t="n"/>
      <c r="D207" s="51" t="n"/>
      <c r="I207" s="51" t="n"/>
      <c r="J207" s="51" t="n"/>
      <c r="K207" s="51" t="n"/>
      <c r="N207" s="51" t="n"/>
      <c r="P207" s="51" t="n"/>
      <c r="Q207" s="51" t="n"/>
    </row>
    <row r="208">
      <c r="B208" s="59" t="n"/>
      <c r="D208" s="51" t="n"/>
      <c r="I208" s="51" t="n"/>
      <c r="J208" s="51" t="n"/>
      <c r="K208" s="51" t="n"/>
      <c r="N208" s="51" t="n"/>
      <c r="P208" s="51" t="n"/>
      <c r="Q208" s="51" t="n"/>
    </row>
    <row r="209">
      <c r="B209" s="59" t="n"/>
      <c r="D209" s="51" t="n"/>
      <c r="I209" s="51" t="n"/>
      <c r="J209" s="51" t="n"/>
      <c r="K209" s="51" t="n"/>
      <c r="N209" s="51" t="n"/>
      <c r="P209" s="51" t="n"/>
      <c r="Q209" s="51" t="n"/>
    </row>
    <row r="210">
      <c r="B210" s="59" t="n"/>
      <c r="D210" s="51" t="n"/>
      <c r="I210" s="51" t="n"/>
      <c r="J210" s="51" t="n"/>
      <c r="K210" s="51" t="n"/>
      <c r="N210" s="51" t="n"/>
      <c r="P210" s="51" t="n"/>
      <c r="Q210" s="51" t="n"/>
    </row>
    <row r="211">
      <c r="B211" s="59" t="n"/>
      <c r="D211" s="51" t="n"/>
      <c r="I211" s="51" t="n"/>
      <c r="J211" s="51" t="n"/>
      <c r="K211" s="51" t="n"/>
      <c r="N211" s="51" t="n"/>
      <c r="P211" s="51" t="n"/>
      <c r="Q211" s="51" t="n"/>
    </row>
    <row r="212">
      <c r="B212" s="59" t="n"/>
      <c r="D212" s="51" t="n"/>
      <c r="I212" s="51" t="n"/>
      <c r="J212" s="51" t="n"/>
      <c r="K212" s="51" t="n"/>
      <c r="N212" s="51" t="n"/>
      <c r="P212" s="51" t="n"/>
      <c r="Q212" s="51" t="n"/>
    </row>
    <row r="213">
      <c r="B213" s="59" t="n"/>
      <c r="D213" s="51" t="n"/>
      <c r="I213" s="51" t="n"/>
      <c r="J213" s="51" t="n"/>
      <c r="K213" s="51" t="n"/>
      <c r="N213" s="51" t="n"/>
      <c r="P213" s="51" t="n"/>
      <c r="Q213" s="51" t="n"/>
    </row>
    <row r="214">
      <c r="B214" s="59" t="n"/>
      <c r="D214" s="51" t="n"/>
      <c r="I214" s="51" t="n"/>
      <c r="J214" s="51" t="n"/>
      <c r="K214" s="51" t="n"/>
      <c r="N214" s="51" t="n"/>
      <c r="P214" s="51" t="n"/>
      <c r="Q214" s="51" t="n"/>
    </row>
    <row r="215">
      <c r="B215" s="59" t="n"/>
      <c r="D215" s="51" t="n"/>
      <c r="I215" s="51" t="n"/>
      <c r="J215" s="51" t="n"/>
      <c r="K215" s="51" t="n"/>
      <c r="N215" s="51" t="n"/>
      <c r="P215" s="51" t="n"/>
      <c r="Q215" s="51" t="n"/>
    </row>
    <row r="216">
      <c r="B216" s="59" t="n"/>
      <c r="D216" s="51" t="n"/>
      <c r="I216" s="51" t="n"/>
      <c r="J216" s="51" t="n"/>
      <c r="K216" s="51" t="n"/>
      <c r="N216" s="51" t="n"/>
      <c r="P216" s="51" t="n"/>
      <c r="Q216" s="51" t="n"/>
    </row>
    <row r="217">
      <c r="B217" s="59" t="n"/>
      <c r="D217" s="51" t="n"/>
      <c r="I217" s="51" t="n"/>
      <c r="J217" s="51" t="n"/>
      <c r="K217" s="51" t="n"/>
      <c r="N217" s="51" t="n"/>
      <c r="P217" s="51" t="n"/>
      <c r="Q217" s="51" t="n"/>
    </row>
    <row r="218">
      <c r="B218" s="59" t="n"/>
      <c r="D218" s="51" t="n"/>
      <c r="I218" s="51" t="n"/>
      <c r="J218" s="51" t="n"/>
      <c r="K218" s="51" t="n"/>
      <c r="N218" s="51" t="n"/>
      <c r="P218" s="51" t="n"/>
      <c r="Q218" s="51" t="n"/>
    </row>
    <row r="219">
      <c r="B219" s="59" t="n"/>
      <c r="D219" s="51" t="n"/>
      <c r="I219" s="51" t="n"/>
      <c r="J219" s="51" t="n"/>
      <c r="K219" s="51" t="n"/>
      <c r="N219" s="51" t="n"/>
      <c r="P219" s="51" t="n"/>
      <c r="Q219" s="51" t="n"/>
    </row>
    <row r="220">
      <c r="B220" s="59" t="n"/>
      <c r="D220" s="51" t="n"/>
      <c r="I220" s="51" t="n"/>
      <c r="J220" s="51" t="n"/>
      <c r="K220" s="51" t="n"/>
      <c r="N220" s="51" t="n"/>
      <c r="P220" s="51" t="n"/>
      <c r="Q220" s="51" t="n"/>
    </row>
    <row r="221">
      <c r="B221" s="59" t="n"/>
      <c r="D221" s="51" t="n"/>
      <c r="I221" s="51" t="n"/>
      <c r="J221" s="51" t="n"/>
      <c r="K221" s="51" t="n"/>
      <c r="N221" s="51" t="n"/>
      <c r="P221" s="51" t="n"/>
      <c r="Q221" s="51" t="n"/>
    </row>
    <row r="222">
      <c r="B222" s="59" t="n"/>
      <c r="D222" s="51" t="n"/>
      <c r="I222" s="51" t="n"/>
      <c r="J222" s="51" t="n"/>
      <c r="K222" s="51" t="n"/>
      <c r="N222" s="51" t="n"/>
      <c r="P222" s="51" t="n"/>
      <c r="Q222" s="51" t="n"/>
    </row>
    <row r="223">
      <c r="B223" s="59" t="n"/>
      <c r="D223" s="51" t="n"/>
      <c r="I223" s="51" t="n"/>
      <c r="J223" s="51" t="n"/>
      <c r="K223" s="51" t="n"/>
      <c r="N223" s="51" t="n"/>
      <c r="P223" s="51" t="n"/>
      <c r="Q223" s="51" t="n"/>
    </row>
    <row r="224">
      <c r="B224" s="59" t="n"/>
      <c r="D224" s="51" t="n"/>
      <c r="I224" s="51" t="n"/>
      <c r="J224" s="51" t="n"/>
      <c r="K224" s="51" t="n"/>
      <c r="N224" s="51" t="n"/>
      <c r="P224" s="51" t="n"/>
      <c r="Q224" s="51" t="n"/>
    </row>
    <row r="225">
      <c r="B225" s="59" t="n"/>
      <c r="D225" s="51" t="n"/>
      <c r="I225" s="51" t="n"/>
      <c r="J225" s="51" t="n"/>
      <c r="K225" s="51" t="n"/>
      <c r="N225" s="51" t="n"/>
      <c r="P225" s="51" t="n"/>
      <c r="Q225" s="51" t="n"/>
    </row>
    <row r="226">
      <c r="B226" s="59" t="n"/>
      <c r="D226" s="51" t="n"/>
      <c r="I226" s="51" t="n"/>
      <c r="J226" s="51" t="n"/>
      <c r="K226" s="51" t="n"/>
      <c r="N226" s="51" t="n"/>
      <c r="P226" s="51" t="n"/>
      <c r="Q226" s="51" t="n"/>
    </row>
    <row r="227">
      <c r="B227" s="59" t="n"/>
      <c r="D227" s="51" t="n"/>
      <c r="I227" s="51" t="n"/>
      <c r="J227" s="51" t="n"/>
      <c r="K227" s="51" t="n"/>
      <c r="N227" s="51" t="n"/>
      <c r="P227" s="51" t="n"/>
      <c r="Q227" s="51" t="n"/>
    </row>
    <row r="228">
      <c r="B228" s="59" t="n"/>
      <c r="D228" s="51" t="n"/>
      <c r="I228" s="51" t="n"/>
      <c r="J228" s="51" t="n"/>
      <c r="K228" s="51" t="n"/>
      <c r="N228" s="51" t="n"/>
      <c r="P228" s="51" t="n"/>
      <c r="Q228" s="51" t="n"/>
    </row>
    <row r="229">
      <c r="B229" s="59" t="n"/>
      <c r="D229" s="51" t="n"/>
      <c r="I229" s="51" t="n"/>
      <c r="J229" s="51" t="n"/>
      <c r="K229" s="51" t="n"/>
      <c r="N229" s="51" t="n"/>
      <c r="P229" s="51" t="n"/>
      <c r="Q229" s="51" t="n"/>
    </row>
    <row r="230">
      <c r="B230" s="59" t="n"/>
      <c r="D230" s="51" t="n"/>
      <c r="I230" s="51" t="n"/>
      <c r="J230" s="51" t="n"/>
      <c r="K230" s="51" t="n"/>
      <c r="N230" s="51" t="n"/>
      <c r="P230" s="51" t="n"/>
      <c r="Q230" s="51" t="n"/>
    </row>
    <row r="231">
      <c r="B231" s="59" t="n"/>
      <c r="D231" s="51" t="n"/>
      <c r="I231" s="51" t="n"/>
      <c r="J231" s="51" t="n"/>
      <c r="K231" s="51" t="n"/>
      <c r="N231" s="51" t="n"/>
      <c r="P231" s="51" t="n"/>
      <c r="Q231" s="51" t="n"/>
    </row>
    <row r="232">
      <c r="B232" s="59" t="n"/>
      <c r="D232" s="51" t="n"/>
      <c r="I232" s="51" t="n"/>
      <c r="J232" s="51" t="n"/>
      <c r="K232" s="51" t="n"/>
      <c r="N232" s="51" t="n"/>
      <c r="P232" s="51" t="n"/>
      <c r="Q232" s="51" t="n"/>
    </row>
    <row r="233">
      <c r="B233" s="59" t="n"/>
      <c r="D233" s="51" t="n"/>
      <c r="I233" s="51" t="n"/>
      <c r="J233" s="51" t="n"/>
      <c r="K233" s="51" t="n"/>
      <c r="N233" s="51" t="n"/>
      <c r="P233" s="51" t="n"/>
      <c r="Q233" s="51" t="n"/>
    </row>
    <row r="234">
      <c r="B234" s="59" t="n"/>
      <c r="D234" s="51" t="n"/>
      <c r="I234" s="51" t="n"/>
      <c r="J234" s="51" t="n"/>
      <c r="K234" s="51" t="n"/>
      <c r="N234" s="51" t="n"/>
      <c r="P234" s="51" t="n"/>
      <c r="Q234" s="51" t="n"/>
    </row>
    <row r="235">
      <c r="B235" s="59" t="n"/>
      <c r="D235" s="51" t="n"/>
      <c r="I235" s="51" t="n"/>
      <c r="J235" s="51" t="n"/>
      <c r="K235" s="51" t="n"/>
      <c r="N235" s="51" t="n"/>
      <c r="P235" s="51" t="n"/>
      <c r="Q235" s="51" t="n"/>
    </row>
    <row r="236">
      <c r="B236" s="59" t="n"/>
      <c r="D236" s="51" t="n"/>
      <c r="I236" s="51" t="n"/>
      <c r="J236" s="51" t="n"/>
      <c r="K236" s="51" t="n"/>
      <c r="N236" s="51" t="n"/>
      <c r="P236" s="51" t="n"/>
      <c r="Q236" s="51" t="n"/>
    </row>
    <row r="237">
      <c r="B237" s="59" t="n"/>
      <c r="D237" s="51" t="n"/>
      <c r="I237" s="51" t="n"/>
      <c r="J237" s="51" t="n"/>
      <c r="K237" s="51" t="n"/>
      <c r="N237" s="51" t="n"/>
      <c r="P237" s="51" t="n"/>
      <c r="Q237" s="51" t="n"/>
    </row>
    <row r="238">
      <c r="B238" s="59" t="n"/>
      <c r="D238" s="51" t="n"/>
      <c r="I238" s="51" t="n"/>
      <c r="J238" s="51" t="n"/>
      <c r="K238" s="51" t="n"/>
      <c r="N238" s="51" t="n"/>
      <c r="P238" s="51" t="n"/>
      <c r="Q238" s="51" t="n"/>
    </row>
    <row r="239">
      <c r="B239" s="59" t="n"/>
      <c r="D239" s="51" t="n"/>
      <c r="I239" s="51" t="n"/>
      <c r="J239" s="51" t="n"/>
      <c r="K239" s="51" t="n"/>
      <c r="N239" s="51" t="n"/>
      <c r="P239" s="51" t="n"/>
      <c r="Q239" s="51" t="n"/>
    </row>
    <row r="240">
      <c r="B240" s="59" t="n"/>
      <c r="D240" s="51" t="n"/>
      <c r="I240" s="51" t="n"/>
      <c r="J240" s="51" t="n"/>
      <c r="K240" s="51" t="n"/>
      <c r="N240" s="51" t="n"/>
      <c r="P240" s="51" t="n"/>
      <c r="Q240" s="51" t="n"/>
    </row>
    <row r="241">
      <c r="B241" s="59" t="n"/>
      <c r="D241" s="51" t="n"/>
      <c r="I241" s="51" t="n"/>
      <c r="J241" s="51" t="n"/>
      <c r="K241" s="51" t="n"/>
      <c r="N241" s="51" t="n"/>
      <c r="P241" s="51" t="n"/>
      <c r="Q241" s="51" t="n"/>
    </row>
    <row r="242">
      <c r="B242" s="59" t="n"/>
      <c r="D242" s="51" t="n"/>
      <c r="I242" s="51" t="n"/>
      <c r="J242" s="51" t="n"/>
      <c r="K242" s="51" t="n"/>
      <c r="N242" s="51" t="n"/>
      <c r="P242" s="51" t="n"/>
      <c r="Q242" s="51" t="n"/>
    </row>
    <row r="243">
      <c r="B243" s="59" t="n"/>
      <c r="D243" s="51" t="n"/>
      <c r="I243" s="51" t="n"/>
      <c r="J243" s="51" t="n"/>
      <c r="K243" s="51" t="n"/>
      <c r="N243" s="51" t="n"/>
      <c r="P243" s="51" t="n"/>
      <c r="Q243" s="51" t="n"/>
    </row>
    <row r="244">
      <c r="B244" s="59" t="n"/>
      <c r="D244" s="51" t="n"/>
      <c r="I244" s="51" t="n"/>
      <c r="J244" s="51" t="n"/>
      <c r="K244" s="51" t="n"/>
      <c r="N244" s="51" t="n"/>
      <c r="P244" s="51" t="n"/>
      <c r="Q244" s="51" t="n"/>
    </row>
    <row r="245">
      <c r="B245" s="59" t="n"/>
      <c r="D245" s="51" t="n"/>
      <c r="I245" s="51" t="n"/>
      <c r="J245" s="51" t="n"/>
      <c r="K245" s="51" t="n"/>
      <c r="N245" s="51" t="n"/>
      <c r="P245" s="51" t="n"/>
      <c r="Q245" s="51" t="n"/>
    </row>
    <row r="246">
      <c r="B246" s="59" t="n"/>
      <c r="D246" s="51" t="n"/>
      <c r="I246" s="51" t="n"/>
      <c r="J246" s="51" t="n"/>
      <c r="K246" s="51" t="n"/>
      <c r="N246" s="51" t="n"/>
      <c r="P246" s="51" t="n"/>
      <c r="Q246" s="51" t="n"/>
    </row>
    <row r="247">
      <c r="B247" s="59" t="n"/>
      <c r="D247" s="51" t="n"/>
      <c r="I247" s="51" t="n"/>
      <c r="J247" s="51" t="n"/>
      <c r="K247" s="51" t="n"/>
      <c r="N247" s="51" t="n"/>
      <c r="P247" s="51" t="n"/>
      <c r="Q247" s="51" t="n"/>
    </row>
    <row r="248">
      <c r="B248" s="59" t="n"/>
      <c r="D248" s="51" t="n"/>
      <c r="I248" s="51" t="n"/>
      <c r="J248" s="51" t="n"/>
      <c r="K248" s="51" t="n"/>
      <c r="N248" s="51" t="n"/>
      <c r="P248" s="51" t="n"/>
      <c r="Q248" s="51" t="n"/>
    </row>
    <row r="249">
      <c r="B249" s="59" t="n"/>
      <c r="D249" s="51" t="n"/>
      <c r="I249" s="51" t="n"/>
      <c r="J249" s="51" t="n"/>
      <c r="K249" s="51" t="n"/>
      <c r="N249" s="51" t="n"/>
      <c r="P249" s="51" t="n"/>
      <c r="Q249" s="51" t="n"/>
    </row>
    <row r="250">
      <c r="B250" s="59" t="n"/>
      <c r="D250" s="51" t="n"/>
      <c r="I250" s="51" t="n"/>
      <c r="J250" s="51" t="n"/>
      <c r="K250" s="51" t="n"/>
      <c r="N250" s="51" t="n"/>
      <c r="P250" s="51" t="n"/>
      <c r="Q250" s="51" t="n"/>
    </row>
    <row r="251">
      <c r="B251" s="59" t="n"/>
      <c r="D251" s="51" t="n"/>
      <c r="I251" s="51" t="n"/>
      <c r="J251" s="51" t="n"/>
      <c r="K251" s="51" t="n"/>
      <c r="N251" s="51" t="n"/>
      <c r="P251" s="51" t="n"/>
      <c r="Q251" s="51" t="n"/>
    </row>
    <row r="252">
      <c r="B252" s="59" t="n"/>
      <c r="D252" s="51" t="n"/>
      <c r="I252" s="51" t="n"/>
      <c r="J252" s="51" t="n"/>
      <c r="K252" s="51" t="n"/>
      <c r="N252" s="51" t="n"/>
      <c r="P252" s="51" t="n"/>
      <c r="Q252" s="51" t="n"/>
    </row>
    <row r="253">
      <c r="B253" s="59" t="n"/>
      <c r="D253" s="51" t="n"/>
      <c r="I253" s="51" t="n"/>
      <c r="J253" s="51" t="n"/>
      <c r="K253" s="51" t="n"/>
      <c r="N253" s="51" t="n"/>
      <c r="P253" s="51" t="n"/>
      <c r="Q253" s="51" t="n"/>
    </row>
    <row r="254">
      <c r="B254" s="59" t="n"/>
      <c r="D254" s="51" t="n"/>
      <c r="I254" s="51" t="n"/>
      <c r="J254" s="51" t="n"/>
      <c r="K254" s="51" t="n"/>
      <c r="N254" s="51" t="n"/>
      <c r="P254" s="51" t="n"/>
      <c r="Q254" s="51" t="n"/>
    </row>
    <row r="255">
      <c r="B255" s="59" t="n"/>
      <c r="D255" s="51" t="n"/>
      <c r="I255" s="51" t="n"/>
      <c r="J255" s="51" t="n"/>
      <c r="K255" s="51" t="n"/>
      <c r="N255" s="51" t="n"/>
      <c r="P255" s="51" t="n"/>
      <c r="Q255" s="51" t="n"/>
    </row>
    <row r="256">
      <c r="B256" s="59" t="n"/>
      <c r="D256" s="51" t="n"/>
      <c r="I256" s="51" t="n"/>
      <c r="J256" s="51" t="n"/>
      <c r="K256" s="51" t="n"/>
      <c r="N256" s="51" t="n"/>
      <c r="P256" s="51" t="n"/>
      <c r="Q256" s="51" t="n"/>
    </row>
    <row r="257">
      <c r="B257" s="59" t="n"/>
      <c r="D257" s="51" t="n"/>
      <c r="I257" s="51" t="n"/>
      <c r="J257" s="51" t="n"/>
      <c r="K257" s="51" t="n"/>
      <c r="N257" s="51" t="n"/>
      <c r="P257" s="51" t="n"/>
      <c r="Q257" s="51" t="n"/>
    </row>
    <row r="258">
      <c r="B258" s="59" t="n"/>
      <c r="D258" s="51" t="n"/>
      <c r="I258" s="51" t="n"/>
      <c r="J258" s="51" t="n"/>
      <c r="K258" s="51" t="n"/>
      <c r="N258" s="51" t="n"/>
      <c r="P258" s="51" t="n"/>
      <c r="Q258" s="51" t="n"/>
    </row>
    <row r="259">
      <c r="B259" s="59" t="n"/>
      <c r="D259" s="51" t="n"/>
      <c r="I259" s="51" t="n"/>
      <c r="J259" s="51" t="n"/>
      <c r="K259" s="51" t="n"/>
      <c r="N259" s="51" t="n"/>
      <c r="P259" s="51" t="n"/>
      <c r="Q259" s="51" t="n"/>
    </row>
    <row r="260">
      <c r="B260" s="59" t="n"/>
      <c r="D260" s="51" t="n"/>
      <c r="I260" s="51" t="n"/>
      <c r="J260" s="51" t="n"/>
      <c r="K260" s="51" t="n"/>
      <c r="N260" s="51" t="n"/>
      <c r="P260" s="51" t="n"/>
      <c r="Q260" s="51" t="n"/>
    </row>
    <row r="261">
      <c r="B261" s="59" t="n"/>
      <c r="D261" s="51" t="n"/>
      <c r="I261" s="51" t="n"/>
      <c r="J261" s="51" t="n"/>
      <c r="K261" s="51" t="n"/>
      <c r="N261" s="51" t="n"/>
      <c r="P261" s="51" t="n"/>
      <c r="Q261" s="51" t="n"/>
    </row>
    <row r="262">
      <c r="B262" s="59" t="n"/>
      <c r="D262" s="51" t="n"/>
      <c r="I262" s="51" t="n"/>
      <c r="J262" s="51" t="n"/>
      <c r="K262" s="51" t="n"/>
      <c r="N262" s="51" t="n"/>
      <c r="P262" s="51" t="n"/>
      <c r="Q262" s="51" t="n"/>
    </row>
    <row r="263">
      <c r="B263" s="59" t="n"/>
      <c r="D263" s="51" t="n"/>
      <c r="I263" s="51" t="n"/>
      <c r="J263" s="51" t="n"/>
      <c r="K263" s="51" t="n"/>
      <c r="N263" s="51" t="n"/>
      <c r="P263" s="51" t="n"/>
      <c r="Q263" s="51" t="n"/>
    </row>
    <row r="264">
      <c r="B264" s="59" t="n"/>
      <c r="D264" s="51" t="n"/>
      <c r="I264" s="51" t="n"/>
      <c r="J264" s="51" t="n"/>
      <c r="K264" s="51" t="n"/>
      <c r="N264" s="51" t="n"/>
      <c r="P264" s="51" t="n"/>
      <c r="Q264" s="51" t="n"/>
    </row>
    <row r="265">
      <c r="B265" s="59" t="n"/>
      <c r="D265" s="51" t="n"/>
      <c r="I265" s="51" t="n"/>
      <c r="J265" s="51" t="n"/>
      <c r="K265" s="51" t="n"/>
      <c r="N265" s="51" t="n"/>
      <c r="P265" s="51" t="n"/>
      <c r="Q265" s="51" t="n"/>
    </row>
    <row r="266">
      <c r="B266" s="59" t="n"/>
      <c r="D266" s="51" t="n"/>
      <c r="I266" s="51" t="n"/>
      <c r="J266" s="51" t="n"/>
      <c r="K266" s="51" t="n"/>
      <c r="N266" s="51" t="n"/>
      <c r="P266" s="51" t="n"/>
      <c r="Q266" s="51" t="n"/>
    </row>
    <row r="267">
      <c r="B267" s="59" t="n"/>
      <c r="D267" s="51" t="n"/>
      <c r="I267" s="51" t="n"/>
      <c r="J267" s="51" t="n"/>
      <c r="K267" s="51" t="n"/>
      <c r="N267" s="51" t="n"/>
      <c r="P267" s="51" t="n"/>
      <c r="Q267" s="51" t="n"/>
    </row>
    <row r="268">
      <c r="B268" s="59" t="n"/>
      <c r="D268" s="51" t="n"/>
      <c r="I268" s="51" t="n"/>
      <c r="J268" s="51" t="n"/>
      <c r="K268" s="51" t="n"/>
      <c r="N268" s="51" t="n"/>
      <c r="P268" s="51" t="n"/>
      <c r="Q268" s="51" t="n"/>
    </row>
    <row r="269">
      <c r="B269" s="59" t="n"/>
      <c r="D269" s="51" t="n"/>
      <c r="I269" s="51" t="n"/>
      <c r="J269" s="51" t="n"/>
      <c r="K269" s="51" t="n"/>
      <c r="N269" s="51" t="n"/>
      <c r="P269" s="51" t="n"/>
      <c r="Q269" s="51" t="n"/>
    </row>
    <row r="270">
      <c r="B270" s="59" t="n"/>
      <c r="D270" s="51" t="n"/>
      <c r="I270" s="51" t="n"/>
      <c r="J270" s="51" t="n"/>
      <c r="K270" s="51" t="n"/>
      <c r="N270" s="51" t="n"/>
      <c r="P270" s="51" t="n"/>
      <c r="Q270" s="51" t="n"/>
    </row>
    <row r="271">
      <c r="B271" s="59" t="n"/>
      <c r="D271" s="51" t="n"/>
      <c r="I271" s="51" t="n"/>
      <c r="J271" s="51" t="n"/>
      <c r="K271" s="51" t="n"/>
      <c r="N271" s="51" t="n"/>
      <c r="P271" s="51" t="n"/>
      <c r="Q271" s="51" t="n"/>
    </row>
    <row r="272">
      <c r="B272" s="59" t="n"/>
      <c r="D272" s="51" t="n"/>
      <c r="I272" s="51" t="n"/>
      <c r="J272" s="51" t="n"/>
      <c r="K272" s="51" t="n"/>
      <c r="N272" s="51" t="n"/>
      <c r="P272" s="51" t="n"/>
      <c r="Q272" s="51" t="n"/>
    </row>
    <row r="273">
      <c r="B273" s="59" t="n"/>
      <c r="D273" s="51" t="n"/>
      <c r="I273" s="51" t="n"/>
      <c r="J273" s="51" t="n"/>
      <c r="K273" s="51" t="n"/>
      <c r="N273" s="51" t="n"/>
      <c r="P273" s="51" t="n"/>
      <c r="Q273" s="51" t="n"/>
    </row>
    <row r="274">
      <c r="B274" s="59" t="n"/>
      <c r="D274" s="51" t="n"/>
      <c r="I274" s="51" t="n"/>
      <c r="J274" s="51" t="n"/>
      <c r="K274" s="51" t="n"/>
      <c r="N274" s="51" t="n"/>
      <c r="P274" s="51" t="n"/>
      <c r="Q274" s="51" t="n"/>
    </row>
    <row r="275">
      <c r="B275" s="59" t="n"/>
      <c r="D275" s="51" t="n"/>
      <c r="I275" s="51" t="n"/>
      <c r="J275" s="51" t="n"/>
      <c r="K275" s="51" t="n"/>
      <c r="N275" s="51" t="n"/>
      <c r="P275" s="51" t="n"/>
      <c r="Q275" s="51" t="n"/>
    </row>
    <row r="276">
      <c r="B276" s="59" t="n"/>
      <c r="D276" s="51" t="n"/>
      <c r="I276" s="51" t="n"/>
      <c r="J276" s="51" t="n"/>
      <c r="K276" s="51" t="n"/>
      <c r="N276" s="51" t="n"/>
      <c r="P276" s="51" t="n"/>
      <c r="Q276" s="51" t="n"/>
    </row>
    <row r="277">
      <c r="B277" s="59" t="n"/>
      <c r="D277" s="51" t="n"/>
      <c r="I277" s="51" t="n"/>
      <c r="J277" s="51" t="n"/>
      <c r="K277" s="51" t="n"/>
      <c r="N277" s="51" t="n"/>
      <c r="P277" s="51" t="n"/>
      <c r="Q277" s="51" t="n"/>
    </row>
    <row r="278">
      <c r="B278" s="59" t="n"/>
      <c r="D278" s="51" t="n"/>
      <c r="I278" s="51" t="n"/>
      <c r="J278" s="51" t="n"/>
      <c r="K278" s="51" t="n"/>
      <c r="N278" s="51" t="n"/>
      <c r="P278" s="51" t="n"/>
      <c r="Q278" s="51" t="n"/>
    </row>
    <row r="279">
      <c r="B279" s="59" t="n"/>
      <c r="D279" s="51" t="n"/>
      <c r="I279" s="51" t="n"/>
      <c r="J279" s="51" t="n"/>
      <c r="K279" s="51" t="n"/>
      <c r="N279" s="51" t="n"/>
      <c r="P279" s="51" t="n"/>
      <c r="Q279" s="51" t="n"/>
    </row>
    <row r="280">
      <c r="B280" s="59" t="n"/>
      <c r="D280" s="51" t="n"/>
      <c r="I280" s="51" t="n"/>
      <c r="J280" s="51" t="n"/>
      <c r="K280" s="51" t="n"/>
      <c r="N280" s="51" t="n"/>
      <c r="P280" s="51" t="n"/>
      <c r="Q280" s="51" t="n"/>
    </row>
    <row r="281">
      <c r="B281" s="59" t="n"/>
      <c r="D281" s="51" t="n"/>
      <c r="I281" s="51" t="n"/>
      <c r="J281" s="51" t="n"/>
      <c r="K281" s="51" t="n"/>
      <c r="N281" s="51" t="n"/>
      <c r="P281" s="51" t="n"/>
      <c r="Q281" s="51" t="n"/>
    </row>
    <row r="282">
      <c r="B282" s="59" t="n"/>
      <c r="D282" s="51" t="n"/>
      <c r="I282" s="51" t="n"/>
      <c r="J282" s="51" t="n"/>
      <c r="K282" s="51" t="n"/>
      <c r="N282" s="51" t="n"/>
      <c r="P282" s="51" t="n"/>
      <c r="Q282" s="51" t="n"/>
    </row>
    <row r="283">
      <c r="B283" s="59" t="n"/>
      <c r="D283" s="51" t="n"/>
      <c r="I283" s="51" t="n"/>
      <c r="J283" s="51" t="n"/>
      <c r="K283" s="51" t="n"/>
      <c r="N283" s="51" t="n"/>
      <c r="P283" s="51" t="n"/>
      <c r="Q283" s="51" t="n"/>
    </row>
    <row r="284">
      <c r="B284" s="59" t="n"/>
      <c r="D284" s="51" t="n"/>
      <c r="I284" s="51" t="n"/>
      <c r="J284" s="51" t="n"/>
      <c r="K284" s="51" t="n"/>
      <c r="N284" s="51" t="n"/>
      <c r="P284" s="51" t="n"/>
      <c r="Q284" s="51" t="n"/>
    </row>
    <row r="285">
      <c r="B285" s="59" t="n"/>
      <c r="D285" s="51" t="n"/>
      <c r="I285" s="51" t="n"/>
      <c r="J285" s="51" t="n"/>
      <c r="K285" s="51" t="n"/>
      <c r="N285" s="51" t="n"/>
      <c r="P285" s="51" t="n"/>
      <c r="Q285" s="51" t="n"/>
    </row>
    <row r="286">
      <c r="B286" s="59" t="n"/>
      <c r="D286" s="51" t="n"/>
      <c r="I286" s="51" t="n"/>
      <c r="J286" s="51" t="n"/>
      <c r="K286" s="51" t="n"/>
      <c r="N286" s="51" t="n"/>
      <c r="P286" s="51" t="n"/>
      <c r="Q286" s="51" t="n"/>
    </row>
    <row r="287">
      <c r="B287" s="59" t="n"/>
      <c r="D287" s="51" t="n"/>
      <c r="I287" s="51" t="n"/>
      <c r="J287" s="51" t="n"/>
      <c r="K287" s="51" t="n"/>
      <c r="N287" s="51" t="n"/>
      <c r="P287" s="51" t="n"/>
      <c r="Q287" s="51" t="n"/>
    </row>
    <row r="288">
      <c r="B288" s="59" t="n"/>
      <c r="D288" s="51" t="n"/>
      <c r="I288" s="51" t="n"/>
      <c r="J288" s="51" t="n"/>
      <c r="K288" s="51" t="n"/>
      <c r="N288" s="51" t="n"/>
      <c r="P288" s="51" t="n"/>
      <c r="Q288" s="51" t="n"/>
    </row>
    <row r="289">
      <c r="B289" s="59" t="n"/>
      <c r="D289" s="51" t="n"/>
      <c r="I289" s="51" t="n"/>
      <c r="J289" s="51" t="n"/>
      <c r="K289" s="51" t="n"/>
      <c r="N289" s="51" t="n"/>
      <c r="P289" s="51" t="n"/>
      <c r="Q289" s="51" t="n"/>
    </row>
    <row r="290">
      <c r="B290" s="59" t="n"/>
      <c r="D290" s="51" t="n"/>
      <c r="I290" s="51" t="n"/>
      <c r="J290" s="51" t="n"/>
      <c r="K290" s="51" t="n"/>
      <c r="N290" s="51" t="n"/>
      <c r="P290" s="51" t="n"/>
      <c r="Q290" s="51" t="n"/>
    </row>
    <row r="291">
      <c r="B291" s="59" t="n"/>
      <c r="D291" s="51" t="n"/>
      <c r="I291" s="51" t="n"/>
      <c r="J291" s="51" t="n"/>
      <c r="K291" s="51" t="n"/>
      <c r="N291" s="51" t="n"/>
      <c r="P291" s="51" t="n"/>
      <c r="Q291" s="51" t="n"/>
    </row>
    <row r="292">
      <c r="B292" s="59" t="n"/>
      <c r="D292" s="51" t="n"/>
      <c r="I292" s="51" t="n"/>
      <c r="J292" s="51" t="n"/>
      <c r="K292" s="51" t="n"/>
      <c r="N292" s="51" t="n"/>
      <c r="P292" s="51" t="n"/>
      <c r="Q292" s="51" t="n"/>
    </row>
    <row r="293">
      <c r="B293" s="59" t="n"/>
      <c r="D293" s="51" t="n"/>
      <c r="I293" s="51" t="n"/>
      <c r="J293" s="51" t="n"/>
      <c r="K293" s="51" t="n"/>
      <c r="N293" s="51" t="n"/>
      <c r="P293" s="51" t="n"/>
      <c r="Q293" s="51" t="n"/>
    </row>
    <row r="294">
      <c r="B294" s="59" t="n"/>
      <c r="D294" s="51" t="n"/>
      <c r="I294" s="51" t="n"/>
      <c r="J294" s="51" t="n"/>
      <c r="K294" s="51" t="n"/>
      <c r="N294" s="51" t="n"/>
      <c r="P294" s="51" t="n"/>
      <c r="Q294" s="51" t="n"/>
    </row>
    <row r="295">
      <c r="B295" s="59" t="n"/>
      <c r="D295" s="51" t="n"/>
      <c r="I295" s="51" t="n"/>
      <c r="J295" s="51" t="n"/>
      <c r="K295" s="51" t="n"/>
      <c r="N295" s="51" t="n"/>
      <c r="P295" s="51" t="n"/>
      <c r="Q295" s="51" t="n"/>
    </row>
    <row r="296">
      <c r="B296" s="59" t="n"/>
      <c r="D296" s="51" t="n"/>
      <c r="I296" s="51" t="n"/>
      <c r="J296" s="51" t="n"/>
      <c r="K296" s="51" t="n"/>
      <c r="N296" s="51" t="n"/>
      <c r="P296" s="51" t="n"/>
      <c r="Q296" s="51" t="n"/>
    </row>
    <row r="297">
      <c r="B297" s="59" t="n"/>
      <c r="D297" s="51" t="n"/>
      <c r="I297" s="51" t="n"/>
      <c r="J297" s="51" t="n"/>
      <c r="K297" s="51" t="n"/>
      <c r="N297" s="51" t="n"/>
      <c r="P297" s="51" t="n"/>
      <c r="Q297" s="51" t="n"/>
    </row>
    <row r="298">
      <c r="B298" s="59" t="n"/>
      <c r="D298" s="51" t="n"/>
      <c r="I298" s="51" t="n"/>
      <c r="J298" s="51" t="n"/>
      <c r="K298" s="51" t="n"/>
      <c r="N298" s="51" t="n"/>
      <c r="P298" s="51" t="n"/>
      <c r="Q298" s="51" t="n"/>
    </row>
    <row r="299">
      <c r="B299" s="59" t="n"/>
      <c r="D299" s="51" t="n"/>
      <c r="I299" s="51" t="n"/>
      <c r="J299" s="51" t="n"/>
      <c r="K299" s="51" t="n"/>
      <c r="N299" s="51" t="n"/>
      <c r="P299" s="51" t="n"/>
      <c r="Q299" s="51" t="n"/>
    </row>
    <row r="300">
      <c r="B300" s="59" t="n"/>
      <c r="D300" s="51" t="n"/>
      <c r="I300" s="51" t="n"/>
      <c r="J300" s="51" t="n"/>
      <c r="K300" s="51" t="n"/>
      <c r="N300" s="51" t="n"/>
      <c r="P300" s="51" t="n"/>
      <c r="Q300" s="51" t="n"/>
    </row>
    <row r="301">
      <c r="B301" s="59" t="n"/>
      <c r="D301" s="51" t="n"/>
      <c r="I301" s="51" t="n"/>
      <c r="J301" s="51" t="n"/>
      <c r="K301" s="51" t="n"/>
      <c r="N301" s="51" t="n"/>
      <c r="P301" s="51" t="n"/>
      <c r="Q301" s="51" t="n"/>
    </row>
    <row r="302">
      <c r="B302" s="59" t="n"/>
      <c r="D302" s="51" t="n"/>
      <c r="I302" s="51" t="n"/>
      <c r="J302" s="51" t="n"/>
      <c r="K302" s="51" t="n"/>
      <c r="N302" s="51" t="n"/>
      <c r="P302" s="51" t="n"/>
      <c r="Q302" s="51" t="n"/>
    </row>
    <row r="303">
      <c r="B303" s="59" t="n"/>
      <c r="D303" s="51" t="n"/>
      <c r="I303" s="51" t="n"/>
      <c r="J303" s="51" t="n"/>
      <c r="K303" s="51" t="n"/>
      <c r="N303" s="51" t="n"/>
      <c r="P303" s="51" t="n"/>
      <c r="Q303" s="51" t="n"/>
    </row>
    <row r="304">
      <c r="B304" s="59" t="n"/>
      <c r="D304" s="51" t="n"/>
      <c r="I304" s="51" t="n"/>
      <c r="J304" s="51" t="n"/>
      <c r="K304" s="51" t="n"/>
      <c r="N304" s="51" t="n"/>
      <c r="P304" s="51" t="n"/>
      <c r="Q304" s="51" t="n"/>
    </row>
    <row r="305">
      <c r="B305" s="59" t="n"/>
      <c r="D305" s="51" t="n"/>
      <c r="I305" s="51" t="n"/>
      <c r="J305" s="51" t="n"/>
      <c r="K305" s="51" t="n"/>
      <c r="N305" s="51" t="n"/>
      <c r="P305" s="51" t="n"/>
      <c r="Q305" s="51" t="n"/>
    </row>
    <row r="306">
      <c r="B306" s="59" t="n"/>
      <c r="D306" s="51" t="n"/>
      <c r="I306" s="51" t="n"/>
      <c r="J306" s="51" t="n"/>
      <c r="K306" s="51" t="n"/>
      <c r="N306" s="51" t="n"/>
      <c r="P306" s="51" t="n"/>
      <c r="Q306" s="51" t="n"/>
    </row>
    <row r="307">
      <c r="B307" s="59" t="n"/>
      <c r="D307" s="51" t="n"/>
      <c r="I307" s="51" t="n"/>
      <c r="J307" s="51" t="n"/>
      <c r="K307" s="51" t="n"/>
      <c r="N307" s="51" t="n"/>
      <c r="P307" s="51" t="n"/>
      <c r="Q307" s="51" t="n"/>
    </row>
    <row r="308">
      <c r="B308" s="59" t="n"/>
      <c r="D308" s="51" t="n"/>
      <c r="I308" s="51" t="n"/>
      <c r="J308" s="51" t="n"/>
      <c r="K308" s="51" t="n"/>
      <c r="N308" s="51" t="n"/>
      <c r="P308" s="51" t="n"/>
      <c r="Q308" s="51" t="n"/>
    </row>
    <row r="309">
      <c r="B309" s="59" t="n"/>
      <c r="D309" s="51" t="n"/>
      <c r="I309" s="51" t="n"/>
      <c r="J309" s="51" t="n"/>
      <c r="K309" s="51" t="n"/>
      <c r="N309" s="51" t="n"/>
      <c r="P309" s="51" t="n"/>
      <c r="Q309" s="51" t="n"/>
    </row>
    <row r="310">
      <c r="B310" s="59" t="n"/>
      <c r="D310" s="51" t="n"/>
      <c r="I310" s="51" t="n"/>
      <c r="J310" s="51" t="n"/>
      <c r="K310" s="51" t="n"/>
      <c r="N310" s="51" t="n"/>
      <c r="P310" s="51" t="n"/>
      <c r="Q310" s="51" t="n"/>
    </row>
    <row r="311">
      <c r="B311" s="59" t="n"/>
      <c r="D311" s="51" t="n"/>
      <c r="I311" s="51" t="n"/>
      <c r="J311" s="51" t="n"/>
      <c r="K311" s="51" t="n"/>
      <c r="N311" s="51" t="n"/>
      <c r="P311" s="51" t="n"/>
      <c r="Q311" s="51" t="n"/>
    </row>
    <row r="312">
      <c r="B312" s="59" t="n"/>
      <c r="D312" s="51" t="n"/>
      <c r="I312" s="51" t="n"/>
      <c r="J312" s="51" t="n"/>
      <c r="K312" s="51" t="n"/>
      <c r="N312" s="51" t="n"/>
      <c r="P312" s="51" t="n"/>
      <c r="Q312" s="51" t="n"/>
    </row>
    <row r="313">
      <c r="B313" s="59" t="n"/>
      <c r="D313" s="51" t="n"/>
      <c r="I313" s="51" t="n"/>
      <c r="J313" s="51" t="n"/>
      <c r="K313" s="51" t="n"/>
      <c r="N313" s="51" t="n"/>
      <c r="P313" s="51" t="n"/>
      <c r="Q313" s="51" t="n"/>
    </row>
    <row r="314">
      <c r="B314" s="59" t="n"/>
      <c r="D314" s="51" t="n"/>
      <c r="I314" s="51" t="n"/>
      <c r="J314" s="51" t="n"/>
      <c r="K314" s="51" t="n"/>
      <c r="N314" s="51" t="n"/>
      <c r="P314" s="51" t="n"/>
      <c r="Q314" s="51" t="n"/>
    </row>
    <row r="315">
      <c r="B315" s="59" t="n"/>
      <c r="D315" s="51" t="n"/>
      <c r="I315" s="51" t="n"/>
      <c r="J315" s="51" t="n"/>
      <c r="K315" s="51" t="n"/>
      <c r="N315" s="51" t="n"/>
      <c r="P315" s="51" t="n"/>
      <c r="Q315" s="51" t="n"/>
    </row>
    <row r="316">
      <c r="B316" s="59" t="n"/>
      <c r="D316" s="51" t="n"/>
      <c r="I316" s="51" t="n"/>
      <c r="J316" s="51" t="n"/>
      <c r="K316" s="51" t="n"/>
      <c r="N316" s="51" t="n"/>
      <c r="P316" s="51" t="n"/>
      <c r="Q316" s="51" t="n"/>
    </row>
    <row r="317">
      <c r="B317" s="59" t="n"/>
      <c r="D317" s="51" t="n"/>
      <c r="I317" s="51" t="n"/>
      <c r="J317" s="51" t="n"/>
      <c r="K317" s="51" t="n"/>
      <c r="N317" s="51" t="n"/>
      <c r="P317" s="51" t="n"/>
      <c r="Q317" s="51" t="n"/>
    </row>
    <row r="318">
      <c r="B318" s="59" t="n"/>
      <c r="D318" s="51" t="n"/>
      <c r="I318" s="51" t="n"/>
      <c r="J318" s="51" t="n"/>
      <c r="K318" s="51" t="n"/>
      <c r="N318" s="51" t="n"/>
      <c r="P318" s="51" t="n"/>
      <c r="Q318" s="51" t="n"/>
    </row>
    <row r="319">
      <c r="B319" s="59" t="n"/>
      <c r="D319" s="51" t="n"/>
      <c r="I319" s="51" t="n"/>
      <c r="J319" s="51" t="n"/>
      <c r="K319" s="51" t="n"/>
      <c r="N319" s="51" t="n"/>
      <c r="P319" s="51" t="n"/>
      <c r="Q319" s="51" t="n"/>
    </row>
    <row r="320">
      <c r="B320" s="59" t="n"/>
      <c r="D320" s="51" t="n"/>
      <c r="I320" s="51" t="n"/>
      <c r="J320" s="51" t="n"/>
      <c r="K320" s="51" t="n"/>
      <c r="N320" s="51" t="n"/>
      <c r="P320" s="51" t="n"/>
      <c r="Q320" s="51" t="n"/>
    </row>
    <row r="321">
      <c r="B321" s="59" t="n"/>
      <c r="D321" s="51" t="n"/>
      <c r="I321" s="51" t="n"/>
      <c r="J321" s="51" t="n"/>
      <c r="K321" s="51" t="n"/>
      <c r="N321" s="51" t="n"/>
      <c r="P321" s="51" t="n"/>
      <c r="Q321" s="51" t="n"/>
    </row>
    <row r="322">
      <c r="B322" s="59" t="n"/>
      <c r="D322" s="51" t="n"/>
      <c r="I322" s="51" t="n"/>
      <c r="J322" s="51" t="n"/>
      <c r="K322" s="51" t="n"/>
      <c r="N322" s="51" t="n"/>
      <c r="P322" s="51" t="n"/>
      <c r="Q322" s="51" t="n"/>
    </row>
    <row r="323">
      <c r="B323" s="59" t="n"/>
      <c r="D323" s="51" t="n"/>
      <c r="I323" s="51" t="n"/>
      <c r="J323" s="51" t="n"/>
      <c r="K323" s="51" t="n"/>
      <c r="N323" s="51" t="n"/>
      <c r="P323" s="51" t="n"/>
      <c r="Q323" s="51" t="n"/>
    </row>
    <row r="324">
      <c r="B324" s="59" t="n"/>
      <c r="D324" s="51" t="n"/>
      <c r="I324" s="51" t="n"/>
      <c r="J324" s="51" t="n"/>
      <c r="K324" s="51" t="n"/>
      <c r="N324" s="51" t="n"/>
      <c r="P324" s="51" t="n"/>
      <c r="Q324" s="51" t="n"/>
    </row>
    <row r="325">
      <c r="B325" s="59" t="n"/>
      <c r="D325" s="51" t="n"/>
      <c r="I325" s="51" t="n"/>
      <c r="J325" s="51" t="n"/>
      <c r="K325" s="51" t="n"/>
      <c r="N325" s="51" t="n"/>
      <c r="P325" s="51" t="n"/>
      <c r="Q325" s="51" t="n"/>
    </row>
    <row r="326">
      <c r="B326" s="59" t="n"/>
      <c r="D326" s="51" t="n"/>
      <c r="I326" s="51" t="n"/>
      <c r="J326" s="51" t="n"/>
      <c r="K326" s="51" t="n"/>
      <c r="N326" s="51" t="n"/>
      <c r="P326" s="51" t="n"/>
      <c r="Q326" s="51" t="n"/>
    </row>
    <row r="327">
      <c r="B327" s="59" t="n"/>
      <c r="D327" s="51" t="n"/>
      <c r="I327" s="51" t="n"/>
      <c r="J327" s="51" t="n"/>
      <c r="K327" s="51" t="n"/>
      <c r="N327" s="51" t="n"/>
      <c r="P327" s="51" t="n"/>
      <c r="Q327" s="51" t="n"/>
    </row>
    <row r="328">
      <c r="B328" s="59" t="n"/>
      <c r="D328" s="51" t="n"/>
      <c r="I328" s="51" t="n"/>
      <c r="J328" s="51" t="n"/>
      <c r="K328" s="51" t="n"/>
      <c r="N328" s="51" t="n"/>
      <c r="P328" s="51" t="n"/>
      <c r="Q328" s="51" t="n"/>
    </row>
    <row r="329">
      <c r="B329" s="59" t="n"/>
      <c r="D329" s="51" t="n"/>
      <c r="I329" s="51" t="n"/>
      <c r="J329" s="51" t="n"/>
      <c r="K329" s="51" t="n"/>
      <c r="N329" s="51" t="n"/>
      <c r="P329" s="51" t="n"/>
      <c r="Q329" s="51" t="n"/>
    </row>
    <row r="330">
      <c r="B330" s="59" t="n"/>
      <c r="D330" s="51" t="n"/>
      <c r="I330" s="51" t="n"/>
      <c r="J330" s="51" t="n"/>
      <c r="K330" s="51" t="n"/>
      <c r="N330" s="51" t="n"/>
      <c r="P330" s="51" t="n"/>
      <c r="Q330" s="51" t="n"/>
    </row>
    <row r="331">
      <c r="B331" s="59" t="n"/>
      <c r="D331" s="51" t="n"/>
      <c r="I331" s="51" t="n"/>
      <c r="J331" s="51" t="n"/>
      <c r="K331" s="51" t="n"/>
      <c r="N331" s="51" t="n"/>
      <c r="P331" s="51" t="n"/>
      <c r="Q331" s="51" t="n"/>
    </row>
    <row r="332">
      <c r="B332" s="59" t="n"/>
      <c r="D332" s="51" t="n"/>
      <c r="I332" s="51" t="n"/>
      <c r="J332" s="51" t="n"/>
      <c r="K332" s="51" t="n"/>
      <c r="N332" s="51" t="n"/>
      <c r="P332" s="51" t="n"/>
      <c r="Q332" s="51" t="n"/>
    </row>
    <row r="333">
      <c r="B333" s="59" t="n"/>
      <c r="D333" s="51" t="n"/>
      <c r="I333" s="51" t="n"/>
      <c r="J333" s="51" t="n"/>
      <c r="K333" s="51" t="n"/>
      <c r="N333" s="51" t="n"/>
      <c r="P333" s="51" t="n"/>
      <c r="Q333" s="51" t="n"/>
    </row>
    <row r="334">
      <c r="B334" s="59" t="n"/>
      <c r="D334" s="51" t="n"/>
      <c r="I334" s="51" t="n"/>
      <c r="J334" s="51" t="n"/>
      <c r="K334" s="51" t="n"/>
      <c r="N334" s="51" t="n"/>
      <c r="P334" s="51" t="n"/>
      <c r="Q334" s="51" t="n"/>
    </row>
    <row r="335">
      <c r="B335" s="59" t="n"/>
      <c r="D335" s="51" t="n"/>
      <c r="I335" s="51" t="n"/>
      <c r="J335" s="51" t="n"/>
      <c r="K335" s="51" t="n"/>
      <c r="N335" s="51" t="n"/>
      <c r="P335" s="51" t="n"/>
      <c r="Q335" s="51" t="n"/>
    </row>
    <row r="336">
      <c r="B336" s="59" t="n"/>
      <c r="D336" s="51" t="n"/>
      <c r="I336" s="51" t="n"/>
      <c r="J336" s="51" t="n"/>
      <c r="K336" s="51" t="n"/>
      <c r="N336" s="51" t="n"/>
      <c r="P336" s="51" t="n"/>
      <c r="Q336" s="51" t="n"/>
    </row>
    <row r="337">
      <c r="B337" s="59" t="n"/>
      <c r="D337" s="51" t="n"/>
      <c r="I337" s="51" t="n"/>
      <c r="J337" s="51" t="n"/>
      <c r="K337" s="51" t="n"/>
      <c r="N337" s="51" t="n"/>
      <c r="P337" s="51" t="n"/>
      <c r="Q337" s="51" t="n"/>
    </row>
    <row r="338">
      <c r="B338" s="59" t="n"/>
      <c r="D338" s="51" t="n"/>
      <c r="I338" s="51" t="n"/>
      <c r="J338" s="51" t="n"/>
      <c r="K338" s="51" t="n"/>
      <c r="N338" s="51" t="n"/>
      <c r="P338" s="51" t="n"/>
      <c r="Q338" s="51" t="n"/>
    </row>
    <row r="339">
      <c r="B339" s="59" t="n"/>
      <c r="D339" s="51" t="n"/>
      <c r="I339" s="51" t="n"/>
      <c r="J339" s="51" t="n"/>
      <c r="K339" s="51" t="n"/>
      <c r="N339" s="51" t="n"/>
      <c r="P339" s="51" t="n"/>
      <c r="Q339" s="51" t="n"/>
    </row>
    <row r="340">
      <c r="B340" s="59" t="n"/>
      <c r="D340" s="51" t="n"/>
      <c r="I340" s="51" t="n"/>
      <c r="J340" s="51" t="n"/>
      <c r="K340" s="51" t="n"/>
      <c r="N340" s="51" t="n"/>
      <c r="P340" s="51" t="n"/>
      <c r="Q340" s="51" t="n"/>
    </row>
    <row r="341">
      <c r="B341" s="59" t="n"/>
      <c r="D341" s="51" t="n"/>
      <c r="I341" s="51" t="n"/>
      <c r="J341" s="51" t="n"/>
      <c r="K341" s="51" t="n"/>
      <c r="N341" s="51" t="n"/>
      <c r="P341" s="51" t="n"/>
      <c r="Q341" s="51" t="n"/>
    </row>
    <row r="342">
      <c r="B342" s="59" t="n"/>
      <c r="D342" s="51" t="n"/>
      <c r="I342" s="51" t="n"/>
      <c r="J342" s="51" t="n"/>
      <c r="K342" s="51" t="n"/>
      <c r="N342" s="51" t="n"/>
      <c r="P342" s="51" t="n"/>
      <c r="Q342" s="51" t="n"/>
    </row>
    <row r="343">
      <c r="B343" s="59" t="n"/>
      <c r="D343" s="51" t="n"/>
      <c r="I343" s="51" t="n"/>
      <c r="J343" s="51" t="n"/>
      <c r="K343" s="51" t="n"/>
      <c r="N343" s="51" t="n"/>
      <c r="P343" s="51" t="n"/>
      <c r="Q343" s="51" t="n"/>
    </row>
    <row r="344">
      <c r="B344" s="59" t="n"/>
      <c r="D344" s="51" t="n"/>
      <c r="I344" s="51" t="n"/>
      <c r="J344" s="51" t="n"/>
      <c r="K344" s="51" t="n"/>
      <c r="N344" s="51" t="n"/>
      <c r="P344" s="51" t="n"/>
      <c r="Q344" s="51" t="n"/>
    </row>
    <row r="345">
      <c r="B345" s="59" t="n"/>
      <c r="D345" s="51" t="n"/>
      <c r="I345" s="51" t="n"/>
      <c r="J345" s="51" t="n"/>
      <c r="K345" s="51" t="n"/>
      <c r="N345" s="51" t="n"/>
      <c r="P345" s="51" t="n"/>
      <c r="Q345" s="51" t="n"/>
    </row>
    <row r="346">
      <c r="B346" s="59" t="n"/>
      <c r="D346" s="51" t="n"/>
      <c r="I346" s="51" t="n"/>
      <c r="J346" s="51" t="n"/>
      <c r="K346" s="51" t="n"/>
      <c r="N346" s="51" t="n"/>
      <c r="P346" s="51" t="n"/>
      <c r="Q346" s="51" t="n"/>
    </row>
    <row r="347">
      <c r="B347" s="59" t="n"/>
      <c r="D347" s="51" t="n"/>
      <c r="I347" s="51" t="n"/>
      <c r="J347" s="51" t="n"/>
      <c r="K347" s="51" t="n"/>
      <c r="N347" s="51" t="n"/>
      <c r="P347" s="51" t="n"/>
      <c r="Q347" s="51" t="n"/>
    </row>
    <row r="348">
      <c r="B348" s="59" t="n"/>
      <c r="D348" s="51" t="n"/>
      <c r="I348" s="51" t="n"/>
      <c r="J348" s="51" t="n"/>
      <c r="K348" s="51" t="n"/>
      <c r="N348" s="51" t="n"/>
      <c r="P348" s="51" t="n"/>
      <c r="Q348" s="51" t="n"/>
    </row>
    <row r="349">
      <c r="B349" s="59" t="n"/>
      <c r="D349" s="51" t="n"/>
      <c r="I349" s="51" t="n"/>
      <c r="J349" s="51" t="n"/>
      <c r="K349" s="51" t="n"/>
      <c r="N349" s="51" t="n"/>
      <c r="P349" s="51" t="n"/>
      <c r="Q349" s="51" t="n"/>
    </row>
    <row r="350">
      <c r="B350" s="59" t="n"/>
      <c r="D350" s="51" t="n"/>
      <c r="I350" s="51" t="n"/>
      <c r="J350" s="51" t="n"/>
      <c r="K350" s="51" t="n"/>
      <c r="N350" s="51" t="n"/>
      <c r="P350" s="51" t="n"/>
      <c r="Q350" s="51" t="n"/>
    </row>
    <row r="351">
      <c r="B351" s="59" t="n"/>
      <c r="D351" s="51" t="n"/>
      <c r="I351" s="51" t="n"/>
      <c r="J351" s="51" t="n"/>
      <c r="K351" s="51" t="n"/>
      <c r="N351" s="51" t="n"/>
      <c r="P351" s="51" t="n"/>
      <c r="Q351" s="51" t="n"/>
    </row>
    <row r="352">
      <c r="B352" s="59" t="n"/>
      <c r="D352" s="51" t="n"/>
      <c r="I352" s="51" t="n"/>
      <c r="J352" s="51" t="n"/>
      <c r="K352" s="51" t="n"/>
      <c r="N352" s="51" t="n"/>
      <c r="P352" s="51" t="n"/>
      <c r="Q352" s="51" t="n"/>
    </row>
    <row r="353">
      <c r="B353" s="59" t="n"/>
      <c r="D353" s="51" t="n"/>
      <c r="I353" s="51" t="n"/>
      <c r="J353" s="51" t="n"/>
      <c r="K353" s="51" t="n"/>
      <c r="N353" s="51" t="n"/>
      <c r="P353" s="51" t="n"/>
      <c r="Q353" s="51" t="n"/>
    </row>
    <row r="354">
      <c r="B354" s="59" t="n"/>
      <c r="D354" s="51" t="n"/>
      <c r="I354" s="51" t="n"/>
      <c r="J354" s="51" t="n"/>
      <c r="K354" s="51" t="n"/>
      <c r="N354" s="51" t="n"/>
      <c r="P354" s="51" t="n"/>
      <c r="Q354" s="51" t="n"/>
    </row>
    <row r="355">
      <c r="B355" s="59" t="n"/>
      <c r="D355" s="51" t="n"/>
      <c r="I355" s="51" t="n"/>
      <c r="J355" s="51" t="n"/>
      <c r="K355" s="51" t="n"/>
      <c r="N355" s="51" t="n"/>
      <c r="P355" s="51" t="n"/>
      <c r="Q355" s="51" t="n"/>
    </row>
    <row r="356">
      <c r="B356" s="59" t="n"/>
      <c r="D356" s="51" t="n"/>
      <c r="I356" s="51" t="n"/>
      <c r="J356" s="51" t="n"/>
      <c r="K356" s="51" t="n"/>
      <c r="N356" s="51" t="n"/>
      <c r="P356" s="51" t="n"/>
      <c r="Q356" s="51" t="n"/>
    </row>
    <row r="357">
      <c r="B357" s="59" t="n"/>
      <c r="D357" s="51" t="n"/>
      <c r="I357" s="51" t="n"/>
      <c r="J357" s="51" t="n"/>
      <c r="K357" s="51" t="n"/>
      <c r="N357" s="51" t="n"/>
      <c r="P357" s="51" t="n"/>
      <c r="Q357" s="51" t="n"/>
    </row>
    <row r="358">
      <c r="B358" s="59" t="n"/>
      <c r="D358" s="51" t="n"/>
      <c r="I358" s="51" t="n"/>
      <c r="J358" s="51" t="n"/>
      <c r="K358" s="51" t="n"/>
      <c r="N358" s="51" t="n"/>
      <c r="P358" s="51" t="n"/>
      <c r="Q358" s="51" t="n"/>
    </row>
    <row r="359">
      <c r="B359" s="59" t="n"/>
      <c r="D359" s="51" t="n"/>
      <c r="I359" s="51" t="n"/>
      <c r="J359" s="51" t="n"/>
      <c r="K359" s="51" t="n"/>
      <c r="N359" s="51" t="n"/>
      <c r="P359" s="51" t="n"/>
      <c r="Q359" s="51" t="n"/>
    </row>
    <row r="360">
      <c r="B360" s="59" t="n"/>
      <c r="D360" s="51" t="n"/>
      <c r="I360" s="51" t="n"/>
      <c r="J360" s="51" t="n"/>
      <c r="K360" s="51" t="n"/>
      <c r="N360" s="51" t="n"/>
      <c r="P360" s="51" t="n"/>
      <c r="Q360" s="51" t="n"/>
    </row>
    <row r="361">
      <c r="B361" s="59" t="n"/>
      <c r="D361" s="51" t="n"/>
      <c r="I361" s="51" t="n"/>
      <c r="J361" s="51" t="n"/>
      <c r="K361" s="51" t="n"/>
      <c r="N361" s="51" t="n"/>
      <c r="P361" s="51" t="n"/>
      <c r="Q361" s="51" t="n"/>
    </row>
    <row r="362">
      <c r="B362" s="59" t="n"/>
      <c r="D362" s="51" t="n"/>
      <c r="I362" s="51" t="n"/>
      <c r="J362" s="51" t="n"/>
      <c r="K362" s="51" t="n"/>
      <c r="N362" s="51" t="n"/>
      <c r="P362" s="51" t="n"/>
      <c r="Q362" s="51" t="n"/>
    </row>
    <row r="363">
      <c r="B363" s="59" t="n"/>
      <c r="D363" s="51" t="n"/>
      <c r="I363" s="51" t="n"/>
      <c r="J363" s="51" t="n"/>
      <c r="K363" s="51" t="n"/>
      <c r="N363" s="51" t="n"/>
      <c r="P363" s="51" t="n"/>
      <c r="Q363" s="51" t="n"/>
    </row>
    <row r="364">
      <c r="B364" s="59" t="n"/>
      <c r="D364" s="51" t="n"/>
      <c r="I364" s="51" t="n"/>
      <c r="J364" s="51" t="n"/>
      <c r="K364" s="51" t="n"/>
      <c r="N364" s="51" t="n"/>
      <c r="P364" s="51" t="n"/>
      <c r="Q364" s="51" t="n"/>
    </row>
    <row r="365">
      <c r="B365" s="59" t="n"/>
      <c r="D365" s="51" t="n"/>
      <c r="I365" s="51" t="n"/>
      <c r="J365" s="51" t="n"/>
      <c r="K365" s="51" t="n"/>
      <c r="N365" s="51" t="n"/>
      <c r="P365" s="51" t="n"/>
      <c r="Q365" s="51" t="n"/>
    </row>
    <row r="366">
      <c r="B366" s="59" t="n"/>
      <c r="D366" s="51" t="n"/>
      <c r="I366" s="51" t="n"/>
      <c r="J366" s="51" t="n"/>
      <c r="K366" s="51" t="n"/>
      <c r="N366" s="51" t="n"/>
      <c r="P366" s="51" t="n"/>
      <c r="Q366" s="51" t="n"/>
    </row>
    <row r="367">
      <c r="B367" s="59" t="n"/>
      <c r="D367" s="51" t="n"/>
      <c r="I367" s="51" t="n"/>
      <c r="J367" s="51" t="n"/>
      <c r="K367" s="51" t="n"/>
      <c r="N367" s="51" t="n"/>
      <c r="P367" s="51" t="n"/>
      <c r="Q367" s="51" t="n"/>
    </row>
    <row r="368">
      <c r="B368" s="59" t="n"/>
      <c r="D368" s="51" t="n"/>
      <c r="I368" s="51" t="n"/>
      <c r="J368" s="51" t="n"/>
      <c r="K368" s="51" t="n"/>
      <c r="N368" s="51" t="n"/>
      <c r="P368" s="51" t="n"/>
      <c r="Q368" s="51" t="n"/>
    </row>
    <row r="369">
      <c r="B369" s="59" t="n"/>
      <c r="D369" s="51" t="n"/>
      <c r="I369" s="51" t="n"/>
      <c r="J369" s="51" t="n"/>
      <c r="K369" s="51" t="n"/>
      <c r="N369" s="51" t="n"/>
      <c r="P369" s="51" t="n"/>
      <c r="Q369" s="51" t="n"/>
    </row>
    <row r="370">
      <c r="B370" s="59" t="n"/>
      <c r="D370" s="51" t="n"/>
      <c r="I370" s="51" t="n"/>
      <c r="J370" s="51" t="n"/>
      <c r="K370" s="51" t="n"/>
      <c r="N370" s="51" t="n"/>
      <c r="P370" s="51" t="n"/>
      <c r="Q370" s="51" t="n"/>
    </row>
    <row r="371">
      <c r="B371" s="59" t="n"/>
      <c r="D371" s="51" t="n"/>
      <c r="I371" s="51" t="n"/>
      <c r="J371" s="51" t="n"/>
      <c r="K371" s="51" t="n"/>
      <c r="N371" s="51" t="n"/>
      <c r="P371" s="51" t="n"/>
      <c r="Q371" s="51" t="n"/>
    </row>
    <row r="372">
      <c r="B372" s="59" t="n"/>
      <c r="D372" s="51" t="n"/>
      <c r="I372" s="51" t="n"/>
      <c r="J372" s="51" t="n"/>
      <c r="K372" s="51" t="n"/>
      <c r="N372" s="51" t="n"/>
      <c r="P372" s="51" t="n"/>
      <c r="Q372" s="51" t="n"/>
    </row>
    <row r="373">
      <c r="B373" s="59" t="n"/>
      <c r="D373" s="51" t="n"/>
      <c r="I373" s="51" t="n"/>
      <c r="J373" s="51" t="n"/>
      <c r="K373" s="51" t="n"/>
      <c r="N373" s="51" t="n"/>
      <c r="P373" s="51" t="n"/>
      <c r="Q373" s="51" t="n"/>
    </row>
    <row r="374">
      <c r="B374" s="59" t="n"/>
      <c r="D374" s="51" t="n"/>
      <c r="I374" s="51" t="n"/>
      <c r="J374" s="51" t="n"/>
      <c r="K374" s="51" t="n"/>
      <c r="N374" s="51" t="n"/>
      <c r="P374" s="51" t="n"/>
      <c r="Q374" s="51" t="n"/>
    </row>
    <row r="375">
      <c r="B375" s="59" t="n"/>
      <c r="D375" s="51" t="n"/>
      <c r="I375" s="51" t="n"/>
      <c r="J375" s="51" t="n"/>
      <c r="K375" s="51" t="n"/>
      <c r="N375" s="51" t="n"/>
      <c r="P375" s="51" t="n"/>
      <c r="Q375" s="51" t="n"/>
    </row>
    <row r="376">
      <c r="B376" s="59" t="n"/>
      <c r="D376" s="51" t="n"/>
      <c r="I376" s="51" t="n"/>
      <c r="J376" s="51" t="n"/>
      <c r="K376" s="51" t="n"/>
      <c r="N376" s="51" t="n"/>
      <c r="P376" s="51" t="n"/>
      <c r="Q376" s="51" t="n"/>
    </row>
    <row r="377">
      <c r="B377" s="59" t="n"/>
      <c r="D377" s="51" t="n"/>
      <c r="I377" s="51" t="n"/>
      <c r="J377" s="51" t="n"/>
      <c r="K377" s="51" t="n"/>
      <c r="N377" s="51" t="n"/>
      <c r="P377" s="51" t="n"/>
      <c r="Q377" s="51" t="n"/>
    </row>
    <row r="378">
      <c r="B378" s="59" t="n"/>
      <c r="D378" s="51" t="n"/>
      <c r="I378" s="51" t="n"/>
      <c r="J378" s="51" t="n"/>
      <c r="K378" s="51" t="n"/>
      <c r="N378" s="51" t="n"/>
      <c r="P378" s="51" t="n"/>
      <c r="Q378" s="51" t="n"/>
    </row>
    <row r="379">
      <c r="B379" s="59" t="n"/>
      <c r="D379" s="51" t="n"/>
      <c r="I379" s="51" t="n"/>
      <c r="J379" s="51" t="n"/>
      <c r="K379" s="51" t="n"/>
      <c r="N379" s="51" t="n"/>
      <c r="P379" s="51" t="n"/>
      <c r="Q379" s="51" t="n"/>
    </row>
    <row r="380">
      <c r="B380" s="59" t="n"/>
      <c r="D380" s="51" t="n"/>
      <c r="I380" s="51" t="n"/>
      <c r="J380" s="51" t="n"/>
      <c r="K380" s="51" t="n"/>
      <c r="N380" s="51" t="n"/>
      <c r="P380" s="51" t="n"/>
      <c r="Q380" s="51" t="n"/>
    </row>
    <row r="381">
      <c r="B381" s="59" t="n"/>
      <c r="D381" s="51" t="n"/>
      <c r="I381" s="51" t="n"/>
      <c r="J381" s="51" t="n"/>
      <c r="K381" s="51" t="n"/>
      <c r="N381" s="51" t="n"/>
      <c r="P381" s="51" t="n"/>
      <c r="Q381" s="51" t="n"/>
    </row>
    <row r="382">
      <c r="B382" s="59" t="n"/>
      <c r="D382" s="51" t="n"/>
      <c r="I382" s="51" t="n"/>
      <c r="J382" s="51" t="n"/>
      <c r="K382" s="51" t="n"/>
      <c r="N382" s="51" t="n"/>
      <c r="P382" s="51" t="n"/>
      <c r="Q382" s="51" t="n"/>
    </row>
    <row r="383">
      <c r="B383" s="59" t="n"/>
      <c r="D383" s="51" t="n"/>
      <c r="I383" s="51" t="n"/>
      <c r="J383" s="51" t="n"/>
      <c r="K383" s="51" t="n"/>
      <c r="N383" s="51" t="n"/>
      <c r="P383" s="51" t="n"/>
      <c r="Q383" s="51" t="n"/>
    </row>
    <row r="384">
      <c r="B384" s="59" t="n"/>
      <c r="D384" s="51" t="n"/>
      <c r="I384" s="51" t="n"/>
      <c r="J384" s="51" t="n"/>
      <c r="K384" s="51" t="n"/>
      <c r="N384" s="51" t="n"/>
      <c r="P384" s="51" t="n"/>
      <c r="Q384" s="51" t="n"/>
    </row>
    <row r="385">
      <c r="B385" s="59" t="n"/>
      <c r="D385" s="51" t="n"/>
      <c r="I385" s="51" t="n"/>
      <c r="J385" s="51" t="n"/>
      <c r="K385" s="51" t="n"/>
      <c r="N385" s="51" t="n"/>
      <c r="P385" s="51" t="n"/>
      <c r="Q385" s="51" t="n"/>
    </row>
    <row r="386">
      <c r="B386" s="59" t="n"/>
      <c r="D386" s="51" t="n"/>
      <c r="I386" s="51" t="n"/>
      <c r="J386" s="51" t="n"/>
      <c r="K386" s="51" t="n"/>
      <c r="N386" s="51" t="n"/>
      <c r="P386" s="51" t="n"/>
      <c r="Q386" s="51" t="n"/>
    </row>
    <row r="387">
      <c r="B387" s="59" t="n"/>
      <c r="D387" s="51" t="n"/>
      <c r="I387" s="51" t="n"/>
      <c r="J387" s="51" t="n"/>
      <c r="K387" s="51" t="n"/>
      <c r="N387" s="51" t="n"/>
      <c r="P387" s="51" t="n"/>
      <c r="Q387" s="51" t="n"/>
    </row>
    <row r="388">
      <c r="B388" s="59" t="n"/>
      <c r="D388" s="51" t="n"/>
      <c r="I388" s="51" t="n"/>
      <c r="J388" s="51" t="n"/>
      <c r="K388" s="51" t="n"/>
      <c r="N388" s="51" t="n"/>
      <c r="P388" s="51" t="n"/>
      <c r="Q388" s="51" t="n"/>
    </row>
    <row r="389">
      <c r="B389" s="59" t="n"/>
      <c r="D389" s="51" t="n"/>
      <c r="I389" s="51" t="n"/>
      <c r="J389" s="51" t="n"/>
      <c r="K389" s="51" t="n"/>
      <c r="N389" s="51" t="n"/>
      <c r="P389" s="51" t="n"/>
      <c r="Q389" s="51" t="n"/>
    </row>
    <row r="390">
      <c r="B390" s="59" t="n"/>
      <c r="D390" s="51" t="n"/>
      <c r="I390" s="51" t="n"/>
      <c r="J390" s="51" t="n"/>
      <c r="K390" s="51" t="n"/>
      <c r="N390" s="51" t="n"/>
      <c r="P390" s="51" t="n"/>
      <c r="Q390" s="51" t="n"/>
    </row>
    <row r="391">
      <c r="B391" s="59" t="n"/>
      <c r="D391" s="51" t="n"/>
      <c r="I391" s="51" t="n"/>
      <c r="J391" s="51" t="n"/>
      <c r="K391" s="51" t="n"/>
      <c r="N391" s="51" t="n"/>
      <c r="P391" s="51" t="n"/>
      <c r="Q391" s="51" t="n"/>
    </row>
    <row r="392">
      <c r="B392" s="59" t="n"/>
      <c r="D392" s="51" t="n"/>
      <c r="I392" s="51" t="n"/>
      <c r="J392" s="51" t="n"/>
      <c r="K392" s="51" t="n"/>
      <c r="N392" s="51" t="n"/>
      <c r="P392" s="51" t="n"/>
      <c r="Q392" s="51" t="n"/>
    </row>
    <row r="393">
      <c r="B393" s="59" t="n"/>
      <c r="D393" s="51" t="n"/>
      <c r="I393" s="51" t="n"/>
      <c r="J393" s="51" t="n"/>
      <c r="K393" s="51" t="n"/>
      <c r="N393" s="51" t="n"/>
      <c r="P393" s="51" t="n"/>
      <c r="Q393" s="51" t="n"/>
    </row>
    <row r="394">
      <c r="B394" s="59" t="n"/>
      <c r="D394" s="51" t="n"/>
      <c r="I394" s="51" t="n"/>
      <c r="J394" s="51" t="n"/>
      <c r="K394" s="51" t="n"/>
      <c r="N394" s="51" t="n"/>
      <c r="P394" s="51" t="n"/>
      <c r="Q394" s="51" t="n"/>
    </row>
    <row r="395">
      <c r="B395" s="59" t="n"/>
      <c r="D395" s="51" t="n"/>
      <c r="I395" s="51" t="n"/>
      <c r="J395" s="51" t="n"/>
      <c r="K395" s="51" t="n"/>
      <c r="N395" s="51" t="n"/>
      <c r="P395" s="51" t="n"/>
      <c r="Q395" s="51" t="n"/>
    </row>
    <row r="396">
      <c r="B396" s="59" t="n"/>
      <c r="D396" s="51" t="n"/>
      <c r="I396" s="51" t="n"/>
      <c r="J396" s="51" t="n"/>
      <c r="K396" s="51" t="n"/>
      <c r="N396" s="51" t="n"/>
      <c r="P396" s="51" t="n"/>
      <c r="Q396" s="51" t="n"/>
    </row>
    <row r="397">
      <c r="B397" s="59" t="n"/>
      <c r="D397" s="51" t="n"/>
      <c r="I397" s="51" t="n"/>
      <c r="J397" s="51" t="n"/>
      <c r="K397" s="51" t="n"/>
      <c r="N397" s="51" t="n"/>
      <c r="P397" s="51" t="n"/>
      <c r="Q397" s="51" t="n"/>
    </row>
    <row r="398">
      <c r="B398" s="59" t="n"/>
      <c r="D398" s="51" t="n"/>
      <c r="I398" s="51" t="n"/>
      <c r="J398" s="51" t="n"/>
      <c r="K398" s="51" t="n"/>
      <c r="N398" s="51" t="n"/>
      <c r="P398" s="51" t="n"/>
      <c r="Q398" s="51" t="n"/>
    </row>
    <row r="399">
      <c r="B399" s="59" t="n"/>
      <c r="D399" s="51" t="n"/>
      <c r="I399" s="51" t="n"/>
      <c r="J399" s="51" t="n"/>
      <c r="K399" s="51" t="n"/>
      <c r="N399" s="51" t="n"/>
      <c r="P399" s="51" t="n"/>
      <c r="Q399" s="51" t="n"/>
    </row>
    <row r="400">
      <c r="B400" s="59" t="n"/>
      <c r="D400" s="51" t="n"/>
      <c r="I400" s="51" t="n"/>
      <c r="J400" s="51" t="n"/>
      <c r="K400" s="51" t="n"/>
      <c r="N400" s="51" t="n"/>
      <c r="P400" s="51" t="n"/>
      <c r="Q400" s="51" t="n"/>
    </row>
    <row r="401">
      <c r="B401" s="59" t="n"/>
      <c r="D401" s="51" t="n"/>
      <c r="I401" s="51" t="n"/>
      <c r="J401" s="51" t="n"/>
      <c r="K401" s="51" t="n"/>
      <c r="N401" s="51" t="n"/>
      <c r="P401" s="51" t="n"/>
      <c r="Q401" s="51" t="n"/>
    </row>
    <row r="402">
      <c r="B402" s="59" t="n"/>
      <c r="D402" s="51" t="n"/>
      <c r="I402" s="51" t="n"/>
      <c r="J402" s="51" t="n"/>
      <c r="K402" s="51" t="n"/>
      <c r="N402" s="51" t="n"/>
      <c r="P402" s="51" t="n"/>
      <c r="Q402" s="51" t="n"/>
    </row>
    <row r="403">
      <c r="B403" s="59" t="n"/>
      <c r="D403" s="51" t="n"/>
      <c r="I403" s="51" t="n"/>
      <c r="J403" s="51" t="n"/>
      <c r="K403" s="51" t="n"/>
      <c r="N403" s="51" t="n"/>
      <c r="P403" s="51" t="n"/>
      <c r="Q403" s="51" t="n"/>
    </row>
    <row r="404">
      <c r="B404" s="59" t="n"/>
      <c r="D404" s="51" t="n"/>
      <c r="I404" s="51" t="n"/>
      <c r="J404" s="51" t="n"/>
      <c r="K404" s="51" t="n"/>
      <c r="N404" s="51" t="n"/>
      <c r="P404" s="51" t="n"/>
      <c r="Q404" s="51" t="n"/>
    </row>
    <row r="405">
      <c r="B405" s="59" t="n"/>
      <c r="D405" s="51" t="n"/>
      <c r="I405" s="51" t="n"/>
      <c r="J405" s="51" t="n"/>
      <c r="K405" s="51" t="n"/>
      <c r="N405" s="51" t="n"/>
      <c r="P405" s="51" t="n"/>
      <c r="Q405" s="51" t="n"/>
    </row>
    <row r="406">
      <c r="B406" s="59" t="n"/>
      <c r="D406" s="51" t="n"/>
      <c r="I406" s="51" t="n"/>
      <c r="J406" s="51" t="n"/>
      <c r="K406" s="51" t="n"/>
      <c r="N406" s="51" t="n"/>
      <c r="P406" s="51" t="n"/>
      <c r="Q406" s="51" t="n"/>
    </row>
    <row r="407">
      <c r="B407" s="59" t="n"/>
      <c r="D407" s="51" t="n"/>
      <c r="I407" s="51" t="n"/>
      <c r="J407" s="51" t="n"/>
      <c r="K407" s="51" t="n"/>
      <c r="N407" s="51" t="n"/>
      <c r="P407" s="51" t="n"/>
      <c r="Q407" s="51" t="n"/>
    </row>
    <row r="408">
      <c r="B408" s="59" t="n"/>
      <c r="D408" s="51" t="n"/>
      <c r="I408" s="51" t="n"/>
      <c r="J408" s="51" t="n"/>
      <c r="K408" s="51" t="n"/>
      <c r="N408" s="51" t="n"/>
      <c r="P408" s="51" t="n"/>
      <c r="Q408" s="51" t="n"/>
    </row>
    <row r="409">
      <c r="B409" s="59" t="n"/>
      <c r="D409" s="51" t="n"/>
      <c r="I409" s="51" t="n"/>
      <c r="J409" s="51" t="n"/>
      <c r="K409" s="51" t="n"/>
      <c r="N409" s="51" t="n"/>
      <c r="P409" s="51" t="n"/>
      <c r="Q409" s="51" t="n"/>
    </row>
    <row r="410">
      <c r="B410" s="59" t="n"/>
      <c r="D410" s="51" t="n"/>
      <c r="I410" s="51" t="n"/>
      <c r="J410" s="51" t="n"/>
      <c r="K410" s="51" t="n"/>
      <c r="N410" s="51" t="n"/>
      <c r="P410" s="51" t="n"/>
      <c r="Q410" s="51" t="n"/>
    </row>
    <row r="411">
      <c r="B411" s="59" t="n"/>
      <c r="D411" s="51" t="n"/>
      <c r="I411" s="51" t="n"/>
      <c r="J411" s="51" t="n"/>
      <c r="K411" s="51" t="n"/>
      <c r="N411" s="51" t="n"/>
      <c r="P411" s="51" t="n"/>
      <c r="Q411" s="51" t="n"/>
    </row>
    <row r="412">
      <c r="B412" s="59" t="n"/>
      <c r="D412" s="51" t="n"/>
      <c r="I412" s="51" t="n"/>
      <c r="J412" s="51" t="n"/>
      <c r="K412" s="51" t="n"/>
      <c r="N412" s="51" t="n"/>
      <c r="P412" s="51" t="n"/>
      <c r="Q412" s="51" t="n"/>
    </row>
    <row r="413">
      <c r="B413" s="59" t="n"/>
      <c r="D413" s="51" t="n"/>
      <c r="I413" s="51" t="n"/>
      <c r="J413" s="51" t="n"/>
      <c r="K413" s="51" t="n"/>
      <c r="N413" s="51" t="n"/>
      <c r="P413" s="51" t="n"/>
      <c r="Q413" s="51" t="n"/>
    </row>
    <row r="414">
      <c r="B414" s="59" t="n"/>
      <c r="D414" s="51" t="n"/>
      <c r="I414" s="51" t="n"/>
      <c r="J414" s="51" t="n"/>
      <c r="K414" s="51" t="n"/>
      <c r="N414" s="51" t="n"/>
      <c r="P414" s="51" t="n"/>
      <c r="Q414" s="51" t="n"/>
    </row>
    <row r="415">
      <c r="B415" s="59" t="n"/>
      <c r="D415" s="51" t="n"/>
      <c r="I415" s="51" t="n"/>
      <c r="J415" s="51" t="n"/>
      <c r="K415" s="51" t="n"/>
      <c r="N415" s="51" t="n"/>
      <c r="P415" s="51" t="n"/>
      <c r="Q415" s="51" t="n"/>
    </row>
    <row r="416">
      <c r="B416" s="59" t="n"/>
      <c r="D416" s="51" t="n"/>
      <c r="I416" s="51" t="n"/>
      <c r="J416" s="51" t="n"/>
      <c r="K416" s="51" t="n"/>
      <c r="N416" s="51" t="n"/>
      <c r="P416" s="51" t="n"/>
      <c r="Q416" s="51" t="n"/>
    </row>
    <row r="417">
      <c r="B417" s="59" t="n"/>
      <c r="D417" s="51" t="n"/>
      <c r="I417" s="51" t="n"/>
      <c r="J417" s="51" t="n"/>
      <c r="K417" s="51" t="n"/>
      <c r="N417" s="51" t="n"/>
      <c r="P417" s="51" t="n"/>
      <c r="Q417" s="51" t="n"/>
    </row>
    <row r="418">
      <c r="B418" s="59" t="n"/>
      <c r="D418" s="51" t="n"/>
      <c r="I418" s="51" t="n"/>
      <c r="J418" s="51" t="n"/>
      <c r="K418" s="51" t="n"/>
      <c r="N418" s="51" t="n"/>
      <c r="P418" s="51" t="n"/>
      <c r="Q418" s="51" t="n"/>
    </row>
    <row r="419">
      <c r="B419" s="59" t="n"/>
      <c r="D419" s="51" t="n"/>
      <c r="I419" s="51" t="n"/>
      <c r="J419" s="51" t="n"/>
      <c r="K419" s="51" t="n"/>
      <c r="N419" s="51" t="n"/>
      <c r="P419" s="51" t="n"/>
      <c r="Q419" s="51" t="n"/>
    </row>
    <row r="420">
      <c r="B420" s="59" t="n"/>
      <c r="D420" s="51" t="n"/>
      <c r="I420" s="51" t="n"/>
      <c r="J420" s="51" t="n"/>
      <c r="K420" s="51" t="n"/>
      <c r="N420" s="51" t="n"/>
      <c r="P420" s="51" t="n"/>
      <c r="Q420" s="51" t="n"/>
    </row>
    <row r="421">
      <c r="B421" s="59" t="n"/>
      <c r="D421" s="51" t="n"/>
      <c r="I421" s="51" t="n"/>
      <c r="J421" s="51" t="n"/>
      <c r="K421" s="51" t="n"/>
      <c r="N421" s="51" t="n"/>
      <c r="P421" s="51" t="n"/>
      <c r="Q421" s="51" t="n"/>
    </row>
    <row r="422">
      <c r="B422" s="59" t="n"/>
      <c r="D422" s="51" t="n"/>
      <c r="I422" s="51" t="n"/>
      <c r="J422" s="51" t="n"/>
      <c r="K422" s="51" t="n"/>
      <c r="N422" s="51" t="n"/>
      <c r="P422" s="51" t="n"/>
      <c r="Q422" s="51" t="n"/>
    </row>
    <row r="423">
      <c r="B423" s="59" t="n"/>
      <c r="D423" s="51" t="n"/>
      <c r="I423" s="51" t="n"/>
      <c r="J423" s="51" t="n"/>
      <c r="K423" s="51" t="n"/>
      <c r="N423" s="51" t="n"/>
      <c r="P423" s="51" t="n"/>
      <c r="Q423" s="51" t="n"/>
    </row>
    <row r="424">
      <c r="B424" s="59" t="n"/>
      <c r="D424" s="51" t="n"/>
      <c r="I424" s="51" t="n"/>
      <c r="J424" s="51" t="n"/>
      <c r="K424" s="51" t="n"/>
      <c r="N424" s="51" t="n"/>
      <c r="P424" s="51" t="n"/>
      <c r="Q424" s="51" t="n"/>
    </row>
    <row r="425">
      <c r="B425" s="59" t="n"/>
      <c r="D425" s="51" t="n"/>
      <c r="I425" s="51" t="n"/>
      <c r="J425" s="51" t="n"/>
      <c r="K425" s="51" t="n"/>
      <c r="N425" s="51" t="n"/>
      <c r="P425" s="51" t="n"/>
      <c r="Q425" s="51" t="n"/>
    </row>
    <row r="426">
      <c r="B426" s="59" t="n"/>
      <c r="D426" s="51" t="n"/>
      <c r="I426" s="51" t="n"/>
      <c r="J426" s="51" t="n"/>
      <c r="K426" s="51" t="n"/>
      <c r="N426" s="51" t="n"/>
      <c r="P426" s="51" t="n"/>
      <c r="Q426" s="51" t="n"/>
    </row>
    <row r="427">
      <c r="B427" s="59" t="n"/>
      <c r="D427" s="51" t="n"/>
      <c r="I427" s="51" t="n"/>
      <c r="J427" s="51" t="n"/>
      <c r="K427" s="51" t="n"/>
      <c r="N427" s="51" t="n"/>
      <c r="P427" s="51" t="n"/>
      <c r="Q427" s="51" t="n"/>
    </row>
    <row r="428">
      <c r="B428" s="59" t="n"/>
      <c r="D428" s="51" t="n"/>
      <c r="I428" s="51" t="n"/>
      <c r="J428" s="51" t="n"/>
      <c r="K428" s="51" t="n"/>
      <c r="N428" s="51" t="n"/>
      <c r="P428" s="51" t="n"/>
      <c r="Q428" s="51" t="n"/>
    </row>
    <row r="429">
      <c r="B429" s="59" t="n"/>
      <c r="D429" s="51" t="n"/>
      <c r="I429" s="51" t="n"/>
      <c r="J429" s="51" t="n"/>
      <c r="K429" s="51" t="n"/>
      <c r="N429" s="51" t="n"/>
      <c r="P429" s="51" t="n"/>
      <c r="Q429" s="51" t="n"/>
    </row>
    <row r="430">
      <c r="B430" s="59" t="n"/>
      <c r="D430" s="51" t="n"/>
      <c r="I430" s="51" t="n"/>
      <c r="J430" s="51" t="n"/>
      <c r="K430" s="51" t="n"/>
      <c r="N430" s="51" t="n"/>
      <c r="P430" s="51" t="n"/>
      <c r="Q430" s="51" t="n"/>
    </row>
    <row r="431">
      <c r="B431" s="59" t="n"/>
      <c r="D431" s="51" t="n"/>
      <c r="I431" s="51" t="n"/>
      <c r="J431" s="51" t="n"/>
      <c r="K431" s="51" t="n"/>
      <c r="N431" s="51" t="n"/>
      <c r="P431" s="51" t="n"/>
      <c r="Q431" s="51" t="n"/>
    </row>
    <row r="432">
      <c r="B432" s="59" t="n"/>
      <c r="D432" s="51" t="n"/>
      <c r="I432" s="51" t="n"/>
      <c r="J432" s="51" t="n"/>
      <c r="K432" s="51" t="n"/>
      <c r="N432" s="51" t="n"/>
      <c r="P432" s="51" t="n"/>
      <c r="Q432" s="51" t="n"/>
    </row>
    <row r="433">
      <c r="B433" s="59" t="n"/>
      <c r="D433" s="51" t="n"/>
      <c r="I433" s="51" t="n"/>
      <c r="J433" s="51" t="n"/>
      <c r="K433" s="51" t="n"/>
      <c r="N433" s="51" t="n"/>
      <c r="P433" s="51" t="n"/>
      <c r="Q433" s="51" t="n"/>
    </row>
    <row r="434">
      <c r="B434" s="59" t="n"/>
      <c r="D434" s="51" t="n"/>
      <c r="I434" s="51" t="n"/>
      <c r="J434" s="51" t="n"/>
      <c r="K434" s="51" t="n"/>
      <c r="N434" s="51" t="n"/>
      <c r="P434" s="51" t="n"/>
      <c r="Q434" s="51" t="n"/>
    </row>
    <row r="435">
      <c r="B435" s="59" t="n"/>
      <c r="D435" s="51" t="n"/>
      <c r="I435" s="51" t="n"/>
      <c r="J435" s="51" t="n"/>
      <c r="K435" s="51" t="n"/>
      <c r="N435" s="51" t="n"/>
      <c r="P435" s="51" t="n"/>
      <c r="Q435" s="51" t="n"/>
    </row>
    <row r="436">
      <c r="B436" s="59" t="n"/>
      <c r="D436" s="51" t="n"/>
      <c r="I436" s="51" t="n"/>
      <c r="J436" s="51" t="n"/>
      <c r="K436" s="51" t="n"/>
      <c r="N436" s="51" t="n"/>
      <c r="P436" s="51" t="n"/>
      <c r="Q436" s="51" t="n"/>
    </row>
    <row r="437">
      <c r="B437" s="59" t="n"/>
      <c r="D437" s="51" t="n"/>
      <c r="I437" s="51" t="n"/>
      <c r="J437" s="51" t="n"/>
      <c r="K437" s="51" t="n"/>
      <c r="N437" s="51" t="n"/>
      <c r="P437" s="51" t="n"/>
      <c r="Q437" s="51" t="n"/>
    </row>
    <row r="438">
      <c r="B438" s="59" t="n"/>
      <c r="D438" s="51" t="n"/>
      <c r="I438" s="51" t="n"/>
      <c r="J438" s="51" t="n"/>
      <c r="K438" s="51" t="n"/>
      <c r="N438" s="51" t="n"/>
      <c r="P438" s="51" t="n"/>
      <c r="Q438" s="51" t="n"/>
    </row>
    <row r="439">
      <c r="B439" s="59" t="n"/>
      <c r="D439" s="51" t="n"/>
      <c r="I439" s="51" t="n"/>
      <c r="J439" s="51" t="n"/>
      <c r="K439" s="51" t="n"/>
      <c r="N439" s="51" t="n"/>
      <c r="P439" s="51" t="n"/>
      <c r="Q439" s="51" t="n"/>
    </row>
    <row r="440">
      <c r="B440" s="59" t="n"/>
      <c r="D440" s="51" t="n"/>
      <c r="I440" s="51" t="n"/>
      <c r="J440" s="51" t="n"/>
      <c r="K440" s="51" t="n"/>
      <c r="N440" s="51" t="n"/>
      <c r="P440" s="51" t="n"/>
      <c r="Q440" s="51" t="n"/>
    </row>
    <row r="441">
      <c r="B441" s="59" t="n"/>
      <c r="D441" s="51" t="n"/>
      <c r="I441" s="51" t="n"/>
      <c r="J441" s="51" t="n"/>
      <c r="K441" s="51" t="n"/>
      <c r="N441" s="51" t="n"/>
      <c r="P441" s="51" t="n"/>
      <c r="Q441" s="51" t="n"/>
    </row>
    <row r="442">
      <c r="B442" s="59" t="n"/>
      <c r="D442" s="51" t="n"/>
      <c r="I442" s="51" t="n"/>
      <c r="J442" s="51" t="n"/>
      <c r="K442" s="51" t="n"/>
      <c r="N442" s="51" t="n"/>
      <c r="P442" s="51" t="n"/>
      <c r="Q442" s="51" t="n"/>
    </row>
    <row r="443">
      <c r="B443" s="59" t="n"/>
      <c r="D443" s="51" t="n"/>
      <c r="I443" s="51" t="n"/>
      <c r="J443" s="51" t="n"/>
      <c r="K443" s="51" t="n"/>
      <c r="N443" s="51" t="n"/>
      <c r="P443" s="51" t="n"/>
      <c r="Q443" s="51" t="n"/>
    </row>
    <row r="444">
      <c r="B444" s="59" t="n"/>
      <c r="D444" s="51" t="n"/>
      <c r="I444" s="51" t="n"/>
      <c r="J444" s="51" t="n"/>
      <c r="K444" s="51" t="n"/>
      <c r="N444" s="51" t="n"/>
      <c r="P444" s="51" t="n"/>
      <c r="Q444" s="51" t="n"/>
    </row>
    <row r="445">
      <c r="B445" s="59" t="n"/>
      <c r="D445" s="51" t="n"/>
      <c r="I445" s="51" t="n"/>
      <c r="J445" s="51" t="n"/>
      <c r="K445" s="51" t="n"/>
      <c r="N445" s="51" t="n"/>
      <c r="P445" s="51" t="n"/>
      <c r="Q445" s="51" t="n"/>
    </row>
    <row r="446">
      <c r="B446" s="59" t="n"/>
      <c r="D446" s="51" t="n"/>
      <c r="I446" s="51" t="n"/>
      <c r="J446" s="51" t="n"/>
      <c r="K446" s="51" t="n"/>
      <c r="N446" s="51" t="n"/>
      <c r="P446" s="51" t="n"/>
      <c r="Q446" s="51" t="n"/>
    </row>
    <row r="447">
      <c r="B447" s="59" t="n"/>
      <c r="D447" s="51" t="n"/>
      <c r="I447" s="51" t="n"/>
      <c r="J447" s="51" t="n"/>
      <c r="K447" s="51" t="n"/>
      <c r="N447" s="51" t="n"/>
      <c r="P447" s="51" t="n"/>
      <c r="Q447" s="51" t="n"/>
    </row>
    <row r="448">
      <c r="B448" s="59" t="n"/>
      <c r="D448" s="51" t="n"/>
      <c r="I448" s="51" t="n"/>
      <c r="J448" s="51" t="n"/>
      <c r="K448" s="51" t="n"/>
      <c r="N448" s="51" t="n"/>
      <c r="P448" s="51" t="n"/>
      <c r="Q448" s="51" t="n"/>
    </row>
    <row r="449">
      <c r="B449" s="59" t="n"/>
      <c r="D449" s="51" t="n"/>
      <c r="I449" s="51" t="n"/>
      <c r="J449" s="51" t="n"/>
      <c r="K449" s="51" t="n"/>
      <c r="N449" s="51" t="n"/>
      <c r="P449" s="51" t="n"/>
      <c r="Q449" s="51" t="n"/>
    </row>
    <row r="450">
      <c r="B450" s="59" t="n"/>
      <c r="D450" s="51" t="n"/>
      <c r="I450" s="51" t="n"/>
      <c r="J450" s="51" t="n"/>
      <c r="K450" s="51" t="n"/>
      <c r="N450" s="51" t="n"/>
      <c r="P450" s="51" t="n"/>
      <c r="Q450" s="51" t="n"/>
    </row>
    <row r="451">
      <c r="B451" s="59" t="n"/>
      <c r="D451" s="51" t="n"/>
      <c r="I451" s="51" t="n"/>
      <c r="J451" s="51" t="n"/>
      <c r="K451" s="51" t="n"/>
      <c r="N451" s="51" t="n"/>
      <c r="P451" s="51" t="n"/>
      <c r="Q451" s="51" t="n"/>
    </row>
    <row r="452">
      <c r="B452" s="59" t="n"/>
      <c r="D452" s="51" t="n"/>
      <c r="I452" s="51" t="n"/>
      <c r="J452" s="51" t="n"/>
      <c r="K452" s="51" t="n"/>
      <c r="N452" s="51" t="n"/>
      <c r="P452" s="51" t="n"/>
      <c r="Q452" s="51" t="n"/>
    </row>
    <row r="453">
      <c r="B453" s="59" t="n"/>
      <c r="D453" s="51" t="n"/>
      <c r="I453" s="51" t="n"/>
      <c r="J453" s="51" t="n"/>
      <c r="K453" s="51" t="n"/>
      <c r="N453" s="51" t="n"/>
      <c r="P453" s="51" t="n"/>
      <c r="Q453" s="51" t="n"/>
    </row>
    <row r="454">
      <c r="B454" s="59" t="n"/>
      <c r="D454" s="51" t="n"/>
      <c r="I454" s="51" t="n"/>
      <c r="J454" s="51" t="n"/>
      <c r="K454" s="51" t="n"/>
      <c r="N454" s="51" t="n"/>
      <c r="P454" s="51" t="n"/>
      <c r="Q454" s="51" t="n"/>
    </row>
    <row r="455">
      <c r="B455" s="59" t="n"/>
      <c r="D455" s="51" t="n"/>
      <c r="I455" s="51" t="n"/>
      <c r="J455" s="51" t="n"/>
      <c r="K455" s="51" t="n"/>
      <c r="N455" s="51" t="n"/>
      <c r="P455" s="51" t="n"/>
      <c r="Q455" s="51" t="n"/>
    </row>
    <row r="456">
      <c r="B456" s="59" t="n"/>
      <c r="D456" s="51" t="n"/>
      <c r="I456" s="51" t="n"/>
      <c r="J456" s="51" t="n"/>
      <c r="K456" s="51" t="n"/>
      <c r="N456" s="51" t="n"/>
      <c r="P456" s="51" t="n"/>
      <c r="Q456" s="51" t="n"/>
    </row>
    <row r="457">
      <c r="B457" s="59" t="n"/>
      <c r="D457" s="51" t="n"/>
      <c r="I457" s="51" t="n"/>
      <c r="J457" s="51" t="n"/>
      <c r="K457" s="51" t="n"/>
      <c r="N457" s="51" t="n"/>
      <c r="P457" s="51" t="n"/>
      <c r="Q457" s="51" t="n"/>
    </row>
    <row r="458">
      <c r="B458" s="59" t="n"/>
      <c r="D458" s="51" t="n"/>
      <c r="I458" s="51" t="n"/>
      <c r="J458" s="51" t="n"/>
      <c r="K458" s="51" t="n"/>
      <c r="N458" s="51" t="n"/>
      <c r="P458" s="51" t="n"/>
      <c r="Q458" s="51" t="n"/>
    </row>
    <row r="459">
      <c r="B459" s="59" t="n"/>
      <c r="D459" s="51" t="n"/>
      <c r="I459" s="51" t="n"/>
      <c r="J459" s="51" t="n"/>
      <c r="K459" s="51" t="n"/>
      <c r="N459" s="51" t="n"/>
      <c r="P459" s="51" t="n"/>
      <c r="Q459" s="51" t="n"/>
    </row>
    <row r="460">
      <c r="B460" s="59" t="n"/>
      <c r="D460" s="51" t="n"/>
      <c r="I460" s="51" t="n"/>
      <c r="J460" s="51" t="n"/>
      <c r="K460" s="51" t="n"/>
      <c r="N460" s="51" t="n"/>
      <c r="P460" s="51" t="n"/>
      <c r="Q460" s="51" t="n"/>
    </row>
    <row r="461">
      <c r="B461" s="59" t="n"/>
      <c r="D461" s="51" t="n"/>
      <c r="I461" s="51" t="n"/>
      <c r="J461" s="51" t="n"/>
      <c r="K461" s="51" t="n"/>
      <c r="N461" s="51" t="n"/>
      <c r="P461" s="51" t="n"/>
      <c r="Q461" s="51" t="n"/>
    </row>
    <row r="462">
      <c r="B462" s="59" t="n"/>
      <c r="D462" s="51" t="n"/>
      <c r="I462" s="51" t="n"/>
      <c r="J462" s="51" t="n"/>
      <c r="K462" s="51" t="n"/>
      <c r="N462" s="51" t="n"/>
      <c r="P462" s="51" t="n"/>
      <c r="Q462" s="51" t="n"/>
    </row>
    <row r="463">
      <c r="B463" s="59" t="n"/>
      <c r="D463" s="51" t="n"/>
      <c r="I463" s="51" t="n"/>
      <c r="J463" s="51" t="n"/>
      <c r="K463" s="51" t="n"/>
      <c r="N463" s="51" t="n"/>
      <c r="P463" s="51" t="n"/>
      <c r="Q463" s="51" t="n"/>
    </row>
    <row r="464">
      <c r="B464" s="59" t="n"/>
      <c r="D464" s="51" t="n"/>
      <c r="I464" s="51" t="n"/>
      <c r="J464" s="51" t="n"/>
      <c r="K464" s="51" t="n"/>
      <c r="N464" s="51" t="n"/>
      <c r="P464" s="51" t="n"/>
      <c r="Q464" s="51" t="n"/>
    </row>
    <row r="465">
      <c r="B465" s="59" t="n"/>
      <c r="D465" s="51" t="n"/>
      <c r="I465" s="51" t="n"/>
      <c r="J465" s="51" t="n"/>
      <c r="K465" s="51" t="n"/>
      <c r="N465" s="51" t="n"/>
      <c r="P465" s="51" t="n"/>
      <c r="Q465" s="51" t="n"/>
    </row>
    <row r="466">
      <c r="B466" s="59" t="n"/>
      <c r="D466" s="51" t="n"/>
      <c r="I466" s="51" t="n"/>
      <c r="J466" s="51" t="n"/>
      <c r="K466" s="51" t="n"/>
      <c r="N466" s="51" t="n"/>
      <c r="P466" s="51" t="n"/>
      <c r="Q466" s="51" t="n"/>
    </row>
    <row r="467">
      <c r="B467" s="59" t="n"/>
      <c r="D467" s="51" t="n"/>
      <c r="I467" s="51" t="n"/>
      <c r="J467" s="51" t="n"/>
      <c r="K467" s="51" t="n"/>
      <c r="N467" s="51" t="n"/>
      <c r="P467" s="51" t="n"/>
      <c r="Q467" s="51" t="n"/>
    </row>
    <row r="468">
      <c r="B468" s="59" t="n"/>
      <c r="D468" s="51" t="n"/>
      <c r="I468" s="51" t="n"/>
      <c r="J468" s="51" t="n"/>
      <c r="K468" s="51" t="n"/>
      <c r="N468" s="51" t="n"/>
      <c r="P468" s="51" t="n"/>
      <c r="Q468" s="51" t="n"/>
    </row>
    <row r="469">
      <c r="B469" s="59" t="n"/>
      <c r="D469" s="51" t="n"/>
      <c r="I469" s="51" t="n"/>
      <c r="J469" s="51" t="n"/>
      <c r="K469" s="51" t="n"/>
      <c r="N469" s="51" t="n"/>
      <c r="P469" s="51" t="n"/>
      <c r="Q469" s="51" t="n"/>
    </row>
    <row r="470">
      <c r="B470" s="59" t="n"/>
      <c r="D470" s="51" t="n"/>
      <c r="I470" s="51" t="n"/>
      <c r="J470" s="51" t="n"/>
      <c r="K470" s="51" t="n"/>
      <c r="N470" s="51" t="n"/>
      <c r="P470" s="51" t="n"/>
      <c r="Q470" s="51" t="n"/>
    </row>
    <row r="471">
      <c r="B471" s="59" t="n"/>
      <c r="D471" s="51" t="n"/>
      <c r="I471" s="51" t="n"/>
      <c r="J471" s="51" t="n"/>
      <c r="K471" s="51" t="n"/>
      <c r="N471" s="51" t="n"/>
      <c r="P471" s="51" t="n"/>
      <c r="Q471" s="51" t="n"/>
    </row>
    <row r="472">
      <c r="B472" s="59" t="n"/>
      <c r="D472" s="51" t="n"/>
      <c r="I472" s="51" t="n"/>
      <c r="J472" s="51" t="n"/>
      <c r="K472" s="51" t="n"/>
      <c r="N472" s="51" t="n"/>
      <c r="P472" s="51" t="n"/>
      <c r="Q472" s="51" t="n"/>
    </row>
    <row r="473">
      <c r="B473" s="59" t="n"/>
      <c r="D473" s="51" t="n"/>
      <c r="I473" s="51" t="n"/>
      <c r="J473" s="51" t="n"/>
      <c r="K473" s="51" t="n"/>
      <c r="N473" s="51" t="n"/>
      <c r="P473" s="51" t="n"/>
      <c r="Q473" s="51" t="n"/>
    </row>
    <row r="474">
      <c r="B474" s="59" t="n"/>
      <c r="D474" s="51" t="n"/>
      <c r="I474" s="51" t="n"/>
      <c r="J474" s="51" t="n"/>
      <c r="K474" s="51" t="n"/>
      <c r="N474" s="51" t="n"/>
      <c r="P474" s="51" t="n"/>
      <c r="Q474" s="51" t="n"/>
    </row>
    <row r="475">
      <c r="B475" s="59" t="n"/>
      <c r="D475" s="51" t="n"/>
      <c r="I475" s="51" t="n"/>
      <c r="J475" s="51" t="n"/>
      <c r="K475" s="51" t="n"/>
      <c r="N475" s="51" t="n"/>
      <c r="P475" s="51" t="n"/>
      <c r="Q475" s="51" t="n"/>
    </row>
    <row r="476">
      <c r="B476" s="59" t="n"/>
      <c r="D476" s="51" t="n"/>
      <c r="I476" s="51" t="n"/>
      <c r="J476" s="51" t="n"/>
      <c r="K476" s="51" t="n"/>
      <c r="N476" s="51" t="n"/>
      <c r="P476" s="51" t="n"/>
      <c r="Q476" s="51" t="n"/>
    </row>
    <row r="477">
      <c r="B477" s="59" t="n"/>
      <c r="D477" s="51" t="n"/>
      <c r="I477" s="51" t="n"/>
      <c r="J477" s="51" t="n"/>
      <c r="K477" s="51" t="n"/>
      <c r="N477" s="51" t="n"/>
      <c r="P477" s="51" t="n"/>
      <c r="Q477" s="51" t="n"/>
    </row>
    <row r="478">
      <c r="B478" s="59" t="n"/>
      <c r="D478" s="51" t="n"/>
      <c r="I478" s="51" t="n"/>
      <c r="J478" s="51" t="n"/>
      <c r="K478" s="51" t="n"/>
      <c r="N478" s="51" t="n"/>
      <c r="P478" s="51" t="n"/>
      <c r="Q478" s="51" t="n"/>
    </row>
    <row r="479">
      <c r="B479" s="59" t="n"/>
      <c r="D479" s="51" t="n"/>
      <c r="I479" s="51" t="n"/>
      <c r="J479" s="51" t="n"/>
      <c r="K479" s="51" t="n"/>
      <c r="N479" s="51" t="n"/>
      <c r="P479" s="51" t="n"/>
      <c r="Q479" s="51" t="n"/>
    </row>
    <row r="480">
      <c r="B480" s="59" t="n"/>
      <c r="D480" s="51" t="n"/>
      <c r="I480" s="51" t="n"/>
      <c r="J480" s="51" t="n"/>
      <c r="K480" s="51" t="n"/>
      <c r="N480" s="51" t="n"/>
      <c r="P480" s="51" t="n"/>
      <c r="Q480" s="51" t="n"/>
    </row>
    <row r="481">
      <c r="B481" s="59" t="n"/>
      <c r="D481" s="51" t="n"/>
      <c r="I481" s="51" t="n"/>
      <c r="J481" s="51" t="n"/>
      <c r="K481" s="51" t="n"/>
      <c r="N481" s="51" t="n"/>
      <c r="P481" s="51" t="n"/>
      <c r="Q481" s="51" t="n"/>
    </row>
    <row r="482">
      <c r="B482" s="59" t="n"/>
      <c r="D482" s="51" t="n"/>
      <c r="I482" s="51" t="n"/>
      <c r="J482" s="51" t="n"/>
      <c r="K482" s="51" t="n"/>
      <c r="N482" s="51" t="n"/>
      <c r="P482" s="51" t="n"/>
      <c r="Q482" s="51" t="n"/>
    </row>
    <row r="483">
      <c r="B483" s="59" t="n"/>
      <c r="D483" s="51" t="n"/>
      <c r="I483" s="51" t="n"/>
      <c r="J483" s="51" t="n"/>
      <c r="K483" s="51" t="n"/>
      <c r="N483" s="51" t="n"/>
      <c r="P483" s="51" t="n"/>
      <c r="Q483" s="51" t="n"/>
    </row>
    <row r="484">
      <c r="B484" s="59" t="n"/>
      <c r="D484" s="51" t="n"/>
      <c r="I484" s="51" t="n"/>
      <c r="J484" s="51" t="n"/>
      <c r="K484" s="51" t="n"/>
      <c r="N484" s="51" t="n"/>
      <c r="P484" s="51" t="n"/>
      <c r="Q484" s="51" t="n"/>
    </row>
    <row r="485">
      <c r="B485" s="59" t="n"/>
      <c r="D485" s="51" t="n"/>
      <c r="I485" s="51" t="n"/>
      <c r="J485" s="51" t="n"/>
      <c r="K485" s="51" t="n"/>
      <c r="N485" s="51" t="n"/>
      <c r="P485" s="51" t="n"/>
      <c r="Q485" s="51" t="n"/>
    </row>
    <row r="486">
      <c r="B486" s="59" t="n"/>
      <c r="D486" s="51" t="n"/>
      <c r="I486" s="51" t="n"/>
      <c r="J486" s="51" t="n"/>
      <c r="K486" s="51" t="n"/>
      <c r="N486" s="51" t="n"/>
      <c r="P486" s="51" t="n"/>
      <c r="Q486" s="51" t="n"/>
    </row>
    <row r="487">
      <c r="B487" s="59" t="n"/>
      <c r="D487" s="51" t="n"/>
      <c r="I487" s="51" t="n"/>
      <c r="J487" s="51" t="n"/>
      <c r="K487" s="51" t="n"/>
      <c r="N487" s="51" t="n"/>
      <c r="P487" s="51" t="n"/>
      <c r="Q487" s="51" t="n"/>
    </row>
    <row r="488">
      <c r="B488" s="59" t="n"/>
      <c r="D488" s="51" t="n"/>
      <c r="I488" s="51" t="n"/>
      <c r="J488" s="51" t="n"/>
      <c r="K488" s="51" t="n"/>
      <c r="N488" s="51" t="n"/>
      <c r="P488" s="51" t="n"/>
      <c r="Q488" s="51" t="n"/>
    </row>
    <row r="489">
      <c r="B489" s="59" t="n"/>
      <c r="D489" s="51" t="n"/>
      <c r="I489" s="51" t="n"/>
      <c r="J489" s="51" t="n"/>
      <c r="K489" s="51" t="n"/>
      <c r="N489" s="51" t="n"/>
      <c r="P489" s="51" t="n"/>
      <c r="Q489" s="51" t="n"/>
    </row>
    <row r="490">
      <c r="B490" s="59" t="n"/>
      <c r="D490" s="51" t="n"/>
      <c r="I490" s="51" t="n"/>
      <c r="J490" s="51" t="n"/>
      <c r="K490" s="51" t="n"/>
      <c r="N490" s="51" t="n"/>
      <c r="P490" s="51" t="n"/>
      <c r="Q490" s="51" t="n"/>
    </row>
    <row r="491">
      <c r="B491" s="59" t="n"/>
      <c r="D491" s="51" t="n"/>
      <c r="I491" s="51" t="n"/>
      <c r="J491" s="51" t="n"/>
      <c r="K491" s="51" t="n"/>
      <c r="N491" s="51" t="n"/>
      <c r="P491" s="51" t="n"/>
      <c r="Q491" s="51" t="n"/>
    </row>
    <row r="492">
      <c r="B492" s="59" t="n"/>
      <c r="D492" s="51" t="n"/>
      <c r="I492" s="51" t="n"/>
      <c r="J492" s="51" t="n"/>
      <c r="K492" s="51" t="n"/>
      <c r="N492" s="51" t="n"/>
      <c r="P492" s="51" t="n"/>
      <c r="Q492" s="51" t="n"/>
    </row>
    <row r="493">
      <c r="B493" s="59" t="n"/>
      <c r="D493" s="51" t="n"/>
      <c r="I493" s="51" t="n"/>
      <c r="J493" s="51" t="n"/>
      <c r="K493" s="51" t="n"/>
      <c r="N493" s="51" t="n"/>
      <c r="P493" s="51" t="n"/>
      <c r="Q493" s="51" t="n"/>
    </row>
    <row r="494">
      <c r="B494" s="59" t="n"/>
      <c r="D494" s="51" t="n"/>
      <c r="I494" s="51" t="n"/>
      <c r="J494" s="51" t="n"/>
      <c r="K494" s="51" t="n"/>
      <c r="N494" s="51" t="n"/>
      <c r="P494" s="51" t="n"/>
      <c r="Q494" s="51" t="n"/>
    </row>
    <row r="495">
      <c r="B495" s="59" t="n"/>
      <c r="D495" s="51" t="n"/>
      <c r="I495" s="51" t="n"/>
      <c r="J495" s="51" t="n"/>
      <c r="K495" s="51" t="n"/>
      <c r="N495" s="51" t="n"/>
      <c r="P495" s="51" t="n"/>
      <c r="Q495" s="51" t="n"/>
    </row>
    <row r="496">
      <c r="B496" s="59" t="n"/>
      <c r="D496" s="51" t="n"/>
      <c r="I496" s="51" t="n"/>
      <c r="J496" s="51" t="n"/>
      <c r="K496" s="51" t="n"/>
      <c r="N496" s="51" t="n"/>
      <c r="P496" s="51" t="n"/>
      <c r="Q496" s="51" t="n"/>
    </row>
    <row r="497">
      <c r="B497" s="59" t="n"/>
      <c r="D497" s="51" t="n"/>
      <c r="I497" s="51" t="n"/>
      <c r="J497" s="51" t="n"/>
      <c r="K497" s="51" t="n"/>
      <c r="N497" s="51" t="n"/>
      <c r="P497" s="51" t="n"/>
      <c r="Q497" s="51" t="n"/>
    </row>
    <row r="498">
      <c r="B498" s="59" t="n"/>
      <c r="D498" s="51" t="n"/>
      <c r="I498" s="51" t="n"/>
      <c r="J498" s="51" t="n"/>
      <c r="K498" s="51" t="n"/>
      <c r="N498" s="51" t="n"/>
      <c r="P498" s="51" t="n"/>
      <c r="Q498" s="51" t="n"/>
    </row>
    <row r="499">
      <c r="B499" s="59" t="n"/>
      <c r="D499" s="51" t="n"/>
      <c r="I499" s="51" t="n"/>
      <c r="J499" s="51" t="n"/>
      <c r="K499" s="51" t="n"/>
      <c r="N499" s="51" t="n"/>
      <c r="P499" s="51" t="n"/>
      <c r="Q499" s="51" t="n"/>
    </row>
    <row r="500">
      <c r="B500" s="59" t="n"/>
      <c r="D500" s="51" t="n"/>
      <c r="I500" s="51" t="n"/>
      <c r="J500" s="51" t="n"/>
      <c r="K500" s="51" t="n"/>
      <c r="N500" s="51" t="n"/>
      <c r="P500" s="51" t="n"/>
      <c r="Q500" s="51" t="n"/>
    </row>
    <row r="501">
      <c r="B501" s="59" t="n"/>
      <c r="D501" s="51" t="n"/>
      <c r="I501" s="51" t="n"/>
      <c r="J501" s="51" t="n"/>
      <c r="K501" s="51" t="n"/>
      <c r="N501" s="51" t="n"/>
      <c r="P501" s="51" t="n"/>
      <c r="Q501" s="51" t="n"/>
    </row>
    <row r="502">
      <c r="B502" s="59" t="n"/>
      <c r="D502" s="51" t="n"/>
      <c r="I502" s="51" t="n"/>
      <c r="J502" s="51" t="n"/>
      <c r="K502" s="51" t="n"/>
      <c r="N502" s="51" t="n"/>
      <c r="P502" s="51" t="n"/>
      <c r="Q502" s="51" t="n"/>
    </row>
    <row r="503">
      <c r="B503" s="59" t="n"/>
      <c r="D503" s="51" t="n"/>
      <c r="I503" s="51" t="n"/>
      <c r="J503" s="51" t="n"/>
      <c r="K503" s="51" t="n"/>
      <c r="N503" s="51" t="n"/>
      <c r="P503" s="51" t="n"/>
      <c r="Q503" s="51" t="n"/>
    </row>
    <row r="504">
      <c r="B504" s="59" t="n"/>
      <c r="D504" s="51" t="n"/>
      <c r="I504" s="51" t="n"/>
      <c r="J504" s="51" t="n"/>
      <c r="K504" s="51" t="n"/>
      <c r="N504" s="51" t="n"/>
      <c r="P504" s="51" t="n"/>
      <c r="Q504" s="51" t="n"/>
    </row>
    <row r="505">
      <c r="B505" s="59" t="n"/>
      <c r="D505" s="51" t="n"/>
      <c r="I505" s="51" t="n"/>
      <c r="J505" s="51" t="n"/>
      <c r="K505" s="51" t="n"/>
      <c r="N505" s="51" t="n"/>
      <c r="P505" s="51" t="n"/>
      <c r="Q505" s="51" t="n"/>
    </row>
    <row r="506">
      <c r="B506" s="59" t="n"/>
      <c r="D506" s="51" t="n"/>
      <c r="I506" s="51" t="n"/>
      <c r="J506" s="51" t="n"/>
      <c r="K506" s="51" t="n"/>
      <c r="N506" s="51" t="n"/>
      <c r="P506" s="51" t="n"/>
      <c r="Q506" s="51" t="n"/>
    </row>
    <row r="507">
      <c r="B507" s="59" t="n"/>
      <c r="D507" s="51" t="n"/>
      <c r="I507" s="51" t="n"/>
      <c r="J507" s="51" t="n"/>
      <c r="K507" s="51" t="n"/>
      <c r="N507" s="51" t="n"/>
      <c r="P507" s="51" t="n"/>
      <c r="Q507" s="51" t="n"/>
    </row>
    <row r="508">
      <c r="B508" s="59" t="n"/>
      <c r="D508" s="51" t="n"/>
      <c r="I508" s="51" t="n"/>
      <c r="J508" s="51" t="n"/>
      <c r="K508" s="51" t="n"/>
      <c r="N508" s="51" t="n"/>
      <c r="P508" s="51" t="n"/>
      <c r="Q508" s="51" t="n"/>
    </row>
    <row r="509">
      <c r="B509" s="59" t="n"/>
      <c r="D509" s="51" t="n"/>
      <c r="I509" s="51" t="n"/>
      <c r="J509" s="51" t="n"/>
      <c r="K509" s="51" t="n"/>
      <c r="N509" s="51" t="n"/>
      <c r="P509" s="51" t="n"/>
      <c r="Q509" s="51" t="n"/>
    </row>
    <row r="510">
      <c r="B510" s="59" t="n"/>
      <c r="D510" s="51" t="n"/>
      <c r="I510" s="51" t="n"/>
      <c r="J510" s="51" t="n"/>
      <c r="K510" s="51" t="n"/>
      <c r="N510" s="51" t="n"/>
      <c r="P510" s="51" t="n"/>
      <c r="Q510" s="51" t="n"/>
    </row>
    <row r="511">
      <c r="B511" s="59" t="n"/>
      <c r="D511" s="51" t="n"/>
      <c r="I511" s="51" t="n"/>
      <c r="J511" s="51" t="n"/>
      <c r="K511" s="51" t="n"/>
      <c r="N511" s="51" t="n"/>
      <c r="P511" s="51" t="n"/>
      <c r="Q511" s="51" t="n"/>
    </row>
    <row r="512">
      <c r="B512" s="59" t="n"/>
      <c r="D512" s="51" t="n"/>
      <c r="I512" s="51" t="n"/>
      <c r="J512" s="51" t="n"/>
      <c r="K512" s="51" t="n"/>
      <c r="N512" s="51" t="n"/>
      <c r="P512" s="51" t="n"/>
      <c r="Q512" s="51" t="n"/>
    </row>
    <row r="513">
      <c r="B513" s="59" t="n"/>
      <c r="D513" s="51" t="n"/>
      <c r="I513" s="51" t="n"/>
      <c r="J513" s="51" t="n"/>
      <c r="K513" s="51" t="n"/>
      <c r="N513" s="51" t="n"/>
      <c r="P513" s="51" t="n"/>
      <c r="Q513" s="51" t="n"/>
    </row>
    <row r="514">
      <c r="B514" s="59" t="n"/>
      <c r="D514" s="51" t="n"/>
      <c r="I514" s="51" t="n"/>
      <c r="J514" s="51" t="n"/>
      <c r="K514" s="51" t="n"/>
      <c r="N514" s="51" t="n"/>
      <c r="P514" s="51" t="n"/>
      <c r="Q514" s="51" t="n"/>
    </row>
    <row r="515">
      <c r="B515" s="59" t="n"/>
      <c r="D515" s="51" t="n"/>
      <c r="I515" s="51" t="n"/>
      <c r="J515" s="51" t="n"/>
      <c r="K515" s="51" t="n"/>
      <c r="N515" s="51" t="n"/>
      <c r="P515" s="51" t="n"/>
      <c r="Q515" s="51" t="n"/>
    </row>
    <row r="516">
      <c r="B516" s="59" t="n"/>
      <c r="D516" s="51" t="n"/>
      <c r="I516" s="51" t="n"/>
      <c r="J516" s="51" t="n"/>
      <c r="K516" s="51" t="n"/>
      <c r="N516" s="51" t="n"/>
      <c r="P516" s="51" t="n"/>
      <c r="Q516" s="51" t="n"/>
    </row>
    <row r="517">
      <c r="B517" s="59" t="n"/>
      <c r="D517" s="51" t="n"/>
      <c r="I517" s="51" t="n"/>
      <c r="J517" s="51" t="n"/>
      <c r="K517" s="51" t="n"/>
      <c r="N517" s="51" t="n"/>
      <c r="P517" s="51" t="n"/>
      <c r="Q517" s="51" t="n"/>
    </row>
    <row r="518">
      <c r="B518" s="59" t="n"/>
      <c r="D518" s="51" t="n"/>
      <c r="I518" s="51" t="n"/>
      <c r="J518" s="51" t="n"/>
      <c r="K518" s="51" t="n"/>
      <c r="N518" s="51" t="n"/>
      <c r="P518" s="51" t="n"/>
      <c r="Q518" s="51" t="n"/>
    </row>
    <row r="519">
      <c r="B519" s="59" t="n"/>
      <c r="D519" s="51" t="n"/>
      <c r="I519" s="51" t="n"/>
      <c r="J519" s="51" t="n"/>
      <c r="K519" s="51" t="n"/>
      <c r="N519" s="51" t="n"/>
      <c r="P519" s="51" t="n"/>
      <c r="Q519" s="51" t="n"/>
    </row>
    <row r="520">
      <c r="B520" s="59" t="n"/>
      <c r="D520" s="51" t="n"/>
      <c r="I520" s="51" t="n"/>
      <c r="J520" s="51" t="n"/>
      <c r="K520" s="51" t="n"/>
      <c r="N520" s="51" t="n"/>
      <c r="P520" s="51" t="n"/>
      <c r="Q520" s="51" t="n"/>
    </row>
    <row r="521">
      <c r="B521" s="59" t="n"/>
      <c r="D521" s="51" t="n"/>
      <c r="I521" s="51" t="n"/>
      <c r="J521" s="51" t="n"/>
      <c r="K521" s="51" t="n"/>
      <c r="N521" s="51" t="n"/>
      <c r="P521" s="51" t="n"/>
      <c r="Q521" s="51" t="n"/>
    </row>
    <row r="522">
      <c r="B522" s="59" t="n"/>
      <c r="D522" s="51" t="n"/>
      <c r="I522" s="51" t="n"/>
      <c r="J522" s="51" t="n"/>
      <c r="K522" s="51" t="n"/>
      <c r="N522" s="51" t="n"/>
      <c r="P522" s="51" t="n"/>
      <c r="Q522" s="51" t="n"/>
    </row>
    <row r="523">
      <c r="B523" s="59" t="n"/>
      <c r="D523" s="51" t="n"/>
      <c r="I523" s="51" t="n"/>
      <c r="J523" s="51" t="n"/>
      <c r="K523" s="51" t="n"/>
      <c r="N523" s="51" t="n"/>
      <c r="P523" s="51" t="n"/>
      <c r="Q523" s="51" t="n"/>
    </row>
    <row r="524">
      <c r="B524" s="59" t="n"/>
      <c r="D524" s="51" t="n"/>
      <c r="I524" s="51" t="n"/>
      <c r="J524" s="51" t="n"/>
      <c r="K524" s="51" t="n"/>
      <c r="N524" s="51" t="n"/>
      <c r="P524" s="51" t="n"/>
      <c r="Q524" s="51" t="n"/>
    </row>
    <row r="525">
      <c r="B525" s="59" t="n"/>
      <c r="D525" s="51" t="n"/>
      <c r="I525" s="51" t="n"/>
      <c r="J525" s="51" t="n"/>
      <c r="K525" s="51" t="n"/>
      <c r="N525" s="51" t="n"/>
      <c r="P525" s="51" t="n"/>
      <c r="Q525" s="51" t="n"/>
    </row>
    <row r="526">
      <c r="B526" s="59" t="n"/>
      <c r="D526" s="51" t="n"/>
      <c r="I526" s="51" t="n"/>
      <c r="J526" s="51" t="n"/>
      <c r="K526" s="51" t="n"/>
      <c r="N526" s="51" t="n"/>
      <c r="P526" s="51" t="n"/>
      <c r="Q526" s="51" t="n"/>
    </row>
    <row r="527">
      <c r="B527" s="59" t="n"/>
      <c r="D527" s="51" t="n"/>
      <c r="I527" s="51" t="n"/>
      <c r="J527" s="51" t="n"/>
      <c r="K527" s="51" t="n"/>
      <c r="N527" s="51" t="n"/>
      <c r="P527" s="51" t="n"/>
      <c r="Q527" s="51" t="n"/>
    </row>
    <row r="528">
      <c r="B528" s="59" t="n"/>
      <c r="D528" s="51" t="n"/>
      <c r="I528" s="51" t="n"/>
      <c r="J528" s="51" t="n"/>
      <c r="K528" s="51" t="n"/>
      <c r="N528" s="51" t="n"/>
      <c r="P528" s="51" t="n"/>
      <c r="Q528" s="51" t="n"/>
    </row>
    <row r="529">
      <c r="B529" s="59" t="n"/>
      <c r="D529" s="51" t="n"/>
      <c r="I529" s="51" t="n"/>
      <c r="J529" s="51" t="n"/>
      <c r="K529" s="51" t="n"/>
      <c r="N529" s="51" t="n"/>
      <c r="P529" s="51" t="n"/>
      <c r="Q529" s="51" t="n"/>
    </row>
    <row r="530">
      <c r="B530" s="59" t="n"/>
      <c r="D530" s="51" t="n"/>
      <c r="I530" s="51" t="n"/>
      <c r="J530" s="51" t="n"/>
      <c r="K530" s="51" t="n"/>
      <c r="N530" s="51" t="n"/>
      <c r="P530" s="51" t="n"/>
      <c r="Q530" s="51" t="n"/>
    </row>
    <row r="531">
      <c r="B531" s="59" t="n"/>
      <c r="D531" s="51" t="n"/>
      <c r="I531" s="51" t="n"/>
      <c r="J531" s="51" t="n"/>
      <c r="K531" s="51" t="n"/>
      <c r="N531" s="51" t="n"/>
      <c r="P531" s="51" t="n"/>
      <c r="Q531" s="51" t="n"/>
    </row>
    <row r="532">
      <c r="B532" s="59" t="n"/>
      <c r="D532" s="51" t="n"/>
      <c r="I532" s="51" t="n"/>
      <c r="J532" s="51" t="n"/>
      <c r="K532" s="51" t="n"/>
      <c r="N532" s="51" t="n"/>
      <c r="P532" s="51" t="n"/>
      <c r="Q532" s="51" t="n"/>
    </row>
    <row r="533">
      <c r="B533" s="59" t="n"/>
      <c r="D533" s="51" t="n"/>
      <c r="I533" s="51" t="n"/>
      <c r="J533" s="51" t="n"/>
      <c r="K533" s="51" t="n"/>
      <c r="N533" s="51" t="n"/>
      <c r="P533" s="51" t="n"/>
      <c r="Q533" s="51" t="n"/>
    </row>
    <row r="534">
      <c r="B534" s="59" t="n"/>
      <c r="D534" s="51" t="n"/>
      <c r="I534" s="51" t="n"/>
      <c r="J534" s="51" t="n"/>
      <c r="K534" s="51" t="n"/>
      <c r="N534" s="51" t="n"/>
      <c r="P534" s="51" t="n"/>
      <c r="Q534" s="51" t="n"/>
    </row>
    <row r="535">
      <c r="B535" s="59" t="n"/>
      <c r="D535" s="51" t="n"/>
      <c r="I535" s="51" t="n"/>
      <c r="J535" s="51" t="n"/>
      <c r="K535" s="51" t="n"/>
      <c r="N535" s="51" t="n"/>
      <c r="P535" s="51" t="n"/>
      <c r="Q535" s="51" t="n"/>
    </row>
    <row r="536">
      <c r="B536" s="59" t="n"/>
      <c r="D536" s="51" t="n"/>
      <c r="I536" s="51" t="n"/>
      <c r="J536" s="51" t="n"/>
      <c r="K536" s="51" t="n"/>
      <c r="N536" s="51" t="n"/>
      <c r="P536" s="51" t="n"/>
      <c r="Q536" s="51" t="n"/>
    </row>
    <row r="537">
      <c r="B537" s="59" t="n"/>
      <c r="D537" s="51" t="n"/>
      <c r="I537" s="51" t="n"/>
      <c r="J537" s="51" t="n"/>
      <c r="K537" s="51" t="n"/>
      <c r="N537" s="51" t="n"/>
      <c r="P537" s="51" t="n"/>
      <c r="Q537" s="51" t="n"/>
    </row>
    <row r="538">
      <c r="B538" s="59" t="n"/>
      <c r="D538" s="51" t="n"/>
      <c r="I538" s="51" t="n"/>
      <c r="J538" s="51" t="n"/>
      <c r="K538" s="51" t="n"/>
      <c r="N538" s="51" t="n"/>
      <c r="P538" s="51" t="n"/>
      <c r="Q538" s="51" t="n"/>
    </row>
    <row r="539">
      <c r="B539" s="59" t="n"/>
      <c r="D539" s="51" t="n"/>
      <c r="I539" s="51" t="n"/>
      <c r="J539" s="51" t="n"/>
      <c r="K539" s="51" t="n"/>
      <c r="N539" s="51" t="n"/>
      <c r="P539" s="51" t="n"/>
      <c r="Q539" s="51" t="n"/>
    </row>
    <row r="540">
      <c r="B540" s="59" t="n"/>
      <c r="D540" s="51" t="n"/>
      <c r="I540" s="51" t="n"/>
      <c r="J540" s="51" t="n"/>
      <c r="K540" s="51" t="n"/>
      <c r="N540" s="51" t="n"/>
      <c r="P540" s="51" t="n"/>
      <c r="Q540" s="51" t="n"/>
    </row>
    <row r="541">
      <c r="B541" s="59" t="n"/>
      <c r="D541" s="51" t="n"/>
      <c r="I541" s="51" t="n"/>
      <c r="J541" s="51" t="n"/>
      <c r="K541" s="51" t="n"/>
      <c r="N541" s="51" t="n"/>
      <c r="P541" s="51" t="n"/>
      <c r="Q541" s="51" t="n"/>
    </row>
    <row r="542">
      <c r="B542" s="59" t="n"/>
      <c r="D542" s="51" t="n"/>
      <c r="I542" s="51" t="n"/>
      <c r="J542" s="51" t="n"/>
      <c r="K542" s="51" t="n"/>
      <c r="N542" s="51" t="n"/>
      <c r="P542" s="51" t="n"/>
      <c r="Q542" s="51" t="n"/>
    </row>
    <row r="543">
      <c r="B543" s="59" t="n"/>
      <c r="D543" s="51" t="n"/>
      <c r="I543" s="51" t="n"/>
      <c r="J543" s="51" t="n"/>
      <c r="K543" s="51" t="n"/>
      <c r="N543" s="51" t="n"/>
      <c r="P543" s="51" t="n"/>
      <c r="Q543" s="51" t="n"/>
    </row>
    <row r="544">
      <c r="B544" s="59" t="n"/>
      <c r="D544" s="51" t="n"/>
      <c r="I544" s="51" t="n"/>
      <c r="J544" s="51" t="n"/>
      <c r="K544" s="51" t="n"/>
      <c r="N544" s="51" t="n"/>
      <c r="P544" s="51" t="n"/>
      <c r="Q544" s="51" t="n"/>
    </row>
    <row r="545">
      <c r="B545" s="59" t="n"/>
      <c r="D545" s="51" t="n"/>
      <c r="I545" s="51" t="n"/>
      <c r="J545" s="51" t="n"/>
      <c r="K545" s="51" t="n"/>
      <c r="N545" s="51" t="n"/>
      <c r="P545" s="51" t="n"/>
      <c r="Q545" s="51" t="n"/>
    </row>
    <row r="546">
      <c r="B546" s="59" t="n"/>
      <c r="D546" s="51" t="n"/>
      <c r="I546" s="51" t="n"/>
      <c r="J546" s="51" t="n"/>
      <c r="K546" s="51" t="n"/>
      <c r="N546" s="51" t="n"/>
      <c r="P546" s="51" t="n"/>
      <c r="Q546" s="51" t="n"/>
    </row>
    <row r="547">
      <c r="B547" s="59" t="n"/>
      <c r="D547" s="51" t="n"/>
      <c r="I547" s="51" t="n"/>
      <c r="J547" s="51" t="n"/>
      <c r="K547" s="51" t="n"/>
      <c r="N547" s="51" t="n"/>
      <c r="P547" s="51" t="n"/>
      <c r="Q547" s="51" t="n"/>
    </row>
    <row r="548">
      <c r="B548" s="59" t="n"/>
      <c r="D548" s="51" t="n"/>
      <c r="I548" s="51" t="n"/>
      <c r="J548" s="51" t="n"/>
      <c r="K548" s="51" t="n"/>
      <c r="N548" s="51" t="n"/>
      <c r="P548" s="51" t="n"/>
      <c r="Q548" s="51" t="n"/>
    </row>
    <row r="549">
      <c r="B549" s="59" t="n"/>
      <c r="D549" s="51" t="n"/>
      <c r="I549" s="51" t="n"/>
      <c r="J549" s="51" t="n"/>
      <c r="K549" s="51" t="n"/>
      <c r="N549" s="51" t="n"/>
      <c r="P549" s="51" t="n"/>
      <c r="Q549" s="51" t="n"/>
    </row>
    <row r="550">
      <c r="B550" s="59" t="n"/>
      <c r="D550" s="51" t="n"/>
      <c r="I550" s="51" t="n"/>
      <c r="J550" s="51" t="n"/>
      <c r="K550" s="51" t="n"/>
      <c r="N550" s="51" t="n"/>
      <c r="P550" s="51" t="n"/>
      <c r="Q550" s="51" t="n"/>
    </row>
    <row r="551">
      <c r="B551" s="59" t="n"/>
      <c r="D551" s="51" t="n"/>
      <c r="I551" s="51" t="n"/>
      <c r="J551" s="51" t="n"/>
      <c r="K551" s="51" t="n"/>
      <c r="N551" s="51" t="n"/>
      <c r="P551" s="51" t="n"/>
      <c r="Q551" s="51" t="n"/>
    </row>
    <row r="552">
      <c r="B552" s="59" t="n"/>
      <c r="D552" s="51" t="n"/>
      <c r="I552" s="51" t="n"/>
      <c r="J552" s="51" t="n"/>
      <c r="K552" s="51" t="n"/>
      <c r="N552" s="51" t="n"/>
      <c r="P552" s="51" t="n"/>
      <c r="Q552" s="51" t="n"/>
    </row>
    <row r="553">
      <c r="B553" s="59" t="n"/>
      <c r="D553" s="51" t="n"/>
      <c r="I553" s="51" t="n"/>
      <c r="J553" s="51" t="n"/>
      <c r="K553" s="51" t="n"/>
      <c r="N553" s="51" t="n"/>
      <c r="P553" s="51" t="n"/>
      <c r="Q553" s="51" t="n"/>
    </row>
    <row r="554">
      <c r="B554" s="59" t="n"/>
      <c r="D554" s="51" t="n"/>
      <c r="I554" s="51" t="n"/>
      <c r="J554" s="51" t="n"/>
      <c r="K554" s="51" t="n"/>
      <c r="N554" s="51" t="n"/>
      <c r="P554" s="51" t="n"/>
      <c r="Q554" s="51" t="n"/>
    </row>
    <row r="555">
      <c r="B555" s="59" t="n"/>
      <c r="D555" s="51" t="n"/>
      <c r="I555" s="51" t="n"/>
      <c r="J555" s="51" t="n"/>
      <c r="K555" s="51" t="n"/>
      <c r="N555" s="51" t="n"/>
      <c r="P555" s="51" t="n"/>
      <c r="Q555" s="51" t="n"/>
    </row>
    <row r="556">
      <c r="B556" s="59" t="n"/>
      <c r="D556" s="51" t="n"/>
      <c r="I556" s="51" t="n"/>
      <c r="J556" s="51" t="n"/>
      <c r="K556" s="51" t="n"/>
      <c r="N556" s="51" t="n"/>
      <c r="P556" s="51" t="n"/>
      <c r="Q556" s="51" t="n"/>
    </row>
    <row r="557">
      <c r="B557" s="59" t="n"/>
      <c r="D557" s="51" t="n"/>
      <c r="I557" s="51" t="n"/>
      <c r="J557" s="51" t="n"/>
      <c r="K557" s="51" t="n"/>
      <c r="N557" s="51" t="n"/>
      <c r="P557" s="51" t="n"/>
      <c r="Q557" s="51" t="n"/>
    </row>
    <row r="558">
      <c r="B558" s="59" t="n"/>
      <c r="D558" s="51" t="n"/>
      <c r="I558" s="51" t="n"/>
      <c r="J558" s="51" t="n"/>
      <c r="K558" s="51" t="n"/>
      <c r="N558" s="51" t="n"/>
      <c r="P558" s="51" t="n"/>
      <c r="Q558" s="51" t="n"/>
    </row>
    <row r="559">
      <c r="B559" s="59" t="n"/>
      <c r="D559" s="51" t="n"/>
      <c r="I559" s="51" t="n"/>
      <c r="J559" s="51" t="n"/>
      <c r="K559" s="51" t="n"/>
      <c r="N559" s="51" t="n"/>
      <c r="P559" s="51" t="n"/>
      <c r="Q559" s="51" t="n"/>
    </row>
    <row r="560">
      <c r="B560" s="59" t="n"/>
      <c r="D560" s="51" t="n"/>
      <c r="I560" s="51" t="n"/>
      <c r="J560" s="51" t="n"/>
      <c r="K560" s="51" t="n"/>
      <c r="N560" s="51" t="n"/>
      <c r="P560" s="51" t="n"/>
      <c r="Q560" s="51" t="n"/>
    </row>
    <row r="561">
      <c r="B561" s="59" t="n"/>
      <c r="D561" s="51" t="n"/>
      <c r="I561" s="51" t="n"/>
      <c r="J561" s="51" t="n"/>
      <c r="K561" s="51" t="n"/>
      <c r="N561" s="51" t="n"/>
      <c r="P561" s="51" t="n"/>
      <c r="Q561" s="51" t="n"/>
    </row>
    <row r="562">
      <c r="B562" s="59" t="n"/>
      <c r="D562" s="51" t="n"/>
      <c r="I562" s="51" t="n"/>
      <c r="J562" s="51" t="n"/>
      <c r="K562" s="51" t="n"/>
      <c r="N562" s="51" t="n"/>
      <c r="P562" s="51" t="n"/>
      <c r="Q562" s="51" t="n"/>
    </row>
    <row r="563">
      <c r="B563" s="59" t="n"/>
      <c r="D563" s="51" t="n"/>
      <c r="I563" s="51" t="n"/>
      <c r="J563" s="51" t="n"/>
      <c r="K563" s="51" t="n"/>
      <c r="N563" s="51" t="n"/>
      <c r="P563" s="51" t="n"/>
      <c r="Q563" s="51" t="n"/>
    </row>
    <row r="564">
      <c r="B564" s="59" t="n"/>
      <c r="D564" s="51" t="n"/>
      <c r="I564" s="51" t="n"/>
      <c r="J564" s="51" t="n"/>
      <c r="K564" s="51" t="n"/>
      <c r="N564" s="51" t="n"/>
      <c r="P564" s="51" t="n"/>
      <c r="Q564" s="51" t="n"/>
    </row>
    <row r="565">
      <c r="B565" s="59" t="n"/>
      <c r="D565" s="51" t="n"/>
      <c r="I565" s="51" t="n"/>
      <c r="J565" s="51" t="n"/>
      <c r="K565" s="51" t="n"/>
      <c r="N565" s="51" t="n"/>
      <c r="P565" s="51" t="n"/>
      <c r="Q565" s="51" t="n"/>
    </row>
    <row r="566">
      <c r="B566" s="59" t="n"/>
      <c r="D566" s="51" t="n"/>
      <c r="I566" s="51" t="n"/>
      <c r="J566" s="51" t="n"/>
      <c r="K566" s="51" t="n"/>
      <c r="N566" s="51" t="n"/>
      <c r="P566" s="51" t="n"/>
      <c r="Q566" s="51" t="n"/>
    </row>
    <row r="567">
      <c r="B567" s="59" t="n"/>
      <c r="D567" s="51" t="n"/>
      <c r="I567" s="51" t="n"/>
      <c r="J567" s="51" t="n"/>
      <c r="K567" s="51" t="n"/>
      <c r="N567" s="51" t="n"/>
      <c r="P567" s="51" t="n"/>
      <c r="Q567" s="51" t="n"/>
    </row>
    <row r="568">
      <c r="B568" s="59" t="n"/>
      <c r="D568" s="51" t="n"/>
      <c r="I568" s="51" t="n"/>
      <c r="J568" s="51" t="n"/>
      <c r="K568" s="51" t="n"/>
      <c r="N568" s="51" t="n"/>
      <c r="P568" s="51" t="n"/>
      <c r="Q568" s="51" t="n"/>
    </row>
    <row r="569">
      <c r="B569" s="59" t="n"/>
      <c r="D569" s="51" t="n"/>
      <c r="I569" s="51" t="n"/>
      <c r="J569" s="51" t="n"/>
      <c r="K569" s="51" t="n"/>
      <c r="N569" s="51" t="n"/>
      <c r="P569" s="51" t="n"/>
      <c r="Q569" s="51" t="n"/>
    </row>
    <row r="570">
      <c r="B570" s="59" t="n"/>
      <c r="D570" s="51" t="n"/>
      <c r="I570" s="51" t="n"/>
      <c r="J570" s="51" t="n"/>
      <c r="K570" s="51" t="n"/>
      <c r="N570" s="51" t="n"/>
      <c r="P570" s="51" t="n"/>
      <c r="Q570" s="51" t="n"/>
    </row>
    <row r="571">
      <c r="B571" s="59" t="n"/>
      <c r="D571" s="51" t="n"/>
      <c r="I571" s="51" t="n"/>
      <c r="J571" s="51" t="n"/>
      <c r="K571" s="51" t="n"/>
      <c r="N571" s="51" t="n"/>
      <c r="P571" s="51" t="n"/>
      <c r="Q571" s="51" t="n"/>
    </row>
    <row r="572">
      <c r="B572" s="59" t="n"/>
      <c r="D572" s="51" t="n"/>
      <c r="I572" s="51" t="n"/>
      <c r="J572" s="51" t="n"/>
      <c r="K572" s="51" t="n"/>
      <c r="N572" s="51" t="n"/>
      <c r="P572" s="51" t="n"/>
      <c r="Q572" s="51" t="n"/>
    </row>
    <row r="573">
      <c r="B573" s="59" t="n"/>
      <c r="D573" s="51" t="n"/>
      <c r="I573" s="51" t="n"/>
      <c r="J573" s="51" t="n"/>
      <c r="K573" s="51" t="n"/>
      <c r="N573" s="51" t="n"/>
      <c r="P573" s="51" t="n"/>
      <c r="Q573" s="51" t="n"/>
    </row>
    <row r="574">
      <c r="B574" s="59" t="n"/>
      <c r="D574" s="51" t="n"/>
      <c r="I574" s="51" t="n"/>
      <c r="J574" s="51" t="n"/>
      <c r="K574" s="51" t="n"/>
      <c r="N574" s="51" t="n"/>
      <c r="P574" s="51" t="n"/>
      <c r="Q574" s="51" t="n"/>
    </row>
    <row r="575">
      <c r="B575" s="59" t="n"/>
      <c r="D575" s="51" t="n"/>
      <c r="I575" s="51" t="n"/>
      <c r="J575" s="51" t="n"/>
      <c r="K575" s="51" t="n"/>
      <c r="N575" s="51" t="n"/>
      <c r="P575" s="51" t="n"/>
      <c r="Q575" s="51" t="n"/>
    </row>
    <row r="576">
      <c r="B576" s="59" t="n"/>
      <c r="D576" s="51" t="n"/>
      <c r="I576" s="51" t="n"/>
      <c r="J576" s="51" t="n"/>
      <c r="K576" s="51" t="n"/>
      <c r="N576" s="51" t="n"/>
      <c r="P576" s="51" t="n"/>
      <c r="Q576" s="51" t="n"/>
    </row>
    <row r="577">
      <c r="B577" s="59" t="n"/>
      <c r="D577" s="51" t="n"/>
      <c r="I577" s="51" t="n"/>
      <c r="J577" s="51" t="n"/>
      <c r="K577" s="51" t="n"/>
      <c r="N577" s="51" t="n"/>
      <c r="P577" s="51" t="n"/>
      <c r="Q577" s="51" t="n"/>
    </row>
    <row r="578">
      <c r="B578" s="59" t="n"/>
      <c r="D578" s="51" t="n"/>
      <c r="I578" s="51" t="n"/>
      <c r="J578" s="51" t="n"/>
      <c r="K578" s="51" t="n"/>
      <c r="N578" s="51" t="n"/>
      <c r="P578" s="51" t="n"/>
      <c r="Q578" s="51" t="n"/>
    </row>
    <row r="579">
      <c r="B579" s="59" t="n"/>
      <c r="D579" s="51" t="n"/>
      <c r="I579" s="51" t="n"/>
      <c r="J579" s="51" t="n"/>
      <c r="K579" s="51" t="n"/>
      <c r="N579" s="51" t="n"/>
      <c r="P579" s="51" t="n"/>
      <c r="Q579" s="51" t="n"/>
    </row>
    <row r="580">
      <c r="B580" s="59" t="n"/>
      <c r="D580" s="51" t="n"/>
      <c r="I580" s="51" t="n"/>
      <c r="J580" s="51" t="n"/>
      <c r="K580" s="51" t="n"/>
      <c r="N580" s="51" t="n"/>
      <c r="P580" s="51" t="n"/>
      <c r="Q580" s="51" t="n"/>
    </row>
    <row r="581">
      <c r="B581" s="59" t="n"/>
      <c r="D581" s="51" t="n"/>
      <c r="I581" s="51" t="n"/>
      <c r="J581" s="51" t="n"/>
      <c r="K581" s="51" t="n"/>
      <c r="N581" s="51" t="n"/>
      <c r="P581" s="51" t="n"/>
      <c r="Q581" s="51" t="n"/>
    </row>
    <row r="582">
      <c r="B582" s="59" t="n"/>
      <c r="D582" s="51" t="n"/>
      <c r="I582" s="51" t="n"/>
      <c r="J582" s="51" t="n"/>
      <c r="K582" s="51" t="n"/>
      <c r="N582" s="51" t="n"/>
      <c r="P582" s="51" t="n"/>
      <c r="Q582" s="51" t="n"/>
    </row>
    <row r="583">
      <c r="B583" s="59" t="n"/>
      <c r="D583" s="51" t="n"/>
      <c r="I583" s="51" t="n"/>
      <c r="J583" s="51" t="n"/>
      <c r="K583" s="51" t="n"/>
      <c r="N583" s="51" t="n"/>
      <c r="P583" s="51" t="n"/>
      <c r="Q583" s="51" t="n"/>
    </row>
    <row r="584">
      <c r="B584" s="59" t="n"/>
      <c r="D584" s="51" t="n"/>
      <c r="I584" s="51" t="n"/>
      <c r="J584" s="51" t="n"/>
      <c r="K584" s="51" t="n"/>
      <c r="N584" s="51" t="n"/>
      <c r="P584" s="51" t="n"/>
      <c r="Q584" s="51" t="n"/>
    </row>
    <row r="585">
      <c r="B585" s="59" t="n"/>
      <c r="D585" s="51" t="n"/>
      <c r="I585" s="51" t="n"/>
      <c r="J585" s="51" t="n"/>
      <c r="K585" s="51" t="n"/>
      <c r="N585" s="51" t="n"/>
      <c r="P585" s="51" t="n"/>
      <c r="Q585" s="51" t="n"/>
    </row>
    <row r="586">
      <c r="B586" s="59" t="n"/>
      <c r="D586" s="51" t="n"/>
      <c r="I586" s="51" t="n"/>
      <c r="J586" s="51" t="n"/>
      <c r="K586" s="51" t="n"/>
      <c r="N586" s="51" t="n"/>
      <c r="P586" s="51" t="n"/>
      <c r="Q586" s="51" t="n"/>
    </row>
    <row r="587">
      <c r="B587" s="59" t="n"/>
      <c r="D587" s="51" t="n"/>
      <c r="I587" s="51" t="n"/>
      <c r="J587" s="51" t="n"/>
      <c r="K587" s="51" t="n"/>
      <c r="N587" s="51" t="n"/>
      <c r="P587" s="51" t="n"/>
      <c r="Q587" s="51" t="n"/>
    </row>
    <row r="588">
      <c r="B588" s="59" t="n"/>
      <c r="D588" s="51" t="n"/>
      <c r="I588" s="51" t="n"/>
      <c r="J588" s="51" t="n"/>
      <c r="K588" s="51" t="n"/>
      <c r="N588" s="51" t="n"/>
      <c r="P588" s="51" t="n"/>
      <c r="Q588" s="51" t="n"/>
    </row>
    <row r="589">
      <c r="B589" s="59" t="n"/>
      <c r="D589" s="51" t="n"/>
      <c r="I589" s="51" t="n"/>
      <c r="J589" s="51" t="n"/>
      <c r="K589" s="51" t="n"/>
      <c r="N589" s="51" t="n"/>
      <c r="P589" s="51" t="n"/>
      <c r="Q589" s="51" t="n"/>
    </row>
    <row r="590">
      <c r="B590" s="59" t="n"/>
      <c r="D590" s="51" t="n"/>
      <c r="I590" s="51" t="n"/>
      <c r="J590" s="51" t="n"/>
      <c r="K590" s="51" t="n"/>
      <c r="N590" s="51" t="n"/>
      <c r="P590" s="51" t="n"/>
      <c r="Q590" s="51" t="n"/>
    </row>
    <row r="591">
      <c r="B591" s="59" t="n"/>
      <c r="D591" s="51" t="n"/>
      <c r="I591" s="51" t="n"/>
      <c r="J591" s="51" t="n"/>
      <c r="K591" s="51" t="n"/>
      <c r="N591" s="51" t="n"/>
      <c r="P591" s="51" t="n"/>
      <c r="Q591" s="51" t="n"/>
    </row>
    <row r="592">
      <c r="B592" s="59" t="n"/>
      <c r="D592" s="51" t="n"/>
      <c r="I592" s="51" t="n"/>
      <c r="J592" s="51" t="n"/>
      <c r="K592" s="51" t="n"/>
      <c r="N592" s="51" t="n"/>
      <c r="P592" s="51" t="n"/>
      <c r="Q592" s="51" t="n"/>
    </row>
    <row r="593">
      <c r="B593" s="59" t="n"/>
      <c r="D593" s="51" t="n"/>
      <c r="I593" s="51" t="n"/>
      <c r="J593" s="51" t="n"/>
      <c r="K593" s="51" t="n"/>
      <c r="N593" s="51" t="n"/>
      <c r="P593" s="51" t="n"/>
      <c r="Q593" s="51" t="n"/>
    </row>
    <row r="594">
      <c r="B594" s="59" t="n"/>
      <c r="D594" s="51" t="n"/>
      <c r="I594" s="51" t="n"/>
      <c r="J594" s="51" t="n"/>
      <c r="K594" s="51" t="n"/>
      <c r="N594" s="51" t="n"/>
      <c r="P594" s="51" t="n"/>
      <c r="Q594" s="51" t="n"/>
    </row>
    <row r="595">
      <c r="B595" s="59" t="n"/>
      <c r="D595" s="51" t="n"/>
      <c r="I595" s="51" t="n"/>
      <c r="J595" s="51" t="n"/>
      <c r="K595" s="51" t="n"/>
      <c r="N595" s="51" t="n"/>
      <c r="P595" s="51" t="n"/>
      <c r="Q595" s="51" t="n"/>
    </row>
    <row r="596">
      <c r="B596" s="59" t="n"/>
      <c r="D596" s="51" t="n"/>
      <c r="I596" s="51" t="n"/>
      <c r="J596" s="51" t="n"/>
      <c r="K596" s="51" t="n"/>
      <c r="N596" s="51" t="n"/>
      <c r="P596" s="51" t="n"/>
      <c r="Q596" s="51" t="n"/>
    </row>
    <row r="597">
      <c r="B597" s="59" t="n"/>
      <c r="D597" s="51" t="n"/>
      <c r="I597" s="51" t="n"/>
      <c r="J597" s="51" t="n"/>
      <c r="K597" s="51" t="n"/>
      <c r="N597" s="51" t="n"/>
      <c r="P597" s="51" t="n"/>
      <c r="Q597" s="51" t="n"/>
    </row>
    <row r="598">
      <c r="B598" s="59" t="n"/>
      <c r="D598" s="51" t="n"/>
      <c r="I598" s="51" t="n"/>
      <c r="J598" s="51" t="n"/>
      <c r="K598" s="51" t="n"/>
      <c r="N598" s="51" t="n"/>
      <c r="P598" s="51" t="n"/>
      <c r="Q598" s="51" t="n"/>
    </row>
    <row r="599">
      <c r="B599" s="59" t="n"/>
      <c r="D599" s="51" t="n"/>
      <c r="I599" s="51" t="n"/>
      <c r="J599" s="51" t="n"/>
      <c r="K599" s="51" t="n"/>
      <c r="N599" s="51" t="n"/>
      <c r="P599" s="51" t="n"/>
      <c r="Q599" s="51" t="n"/>
    </row>
    <row r="600">
      <c r="B600" s="59" t="n"/>
      <c r="D600" s="51" t="n"/>
      <c r="I600" s="51" t="n"/>
      <c r="J600" s="51" t="n"/>
      <c r="K600" s="51" t="n"/>
      <c r="N600" s="51" t="n"/>
      <c r="P600" s="51" t="n"/>
      <c r="Q600" s="51" t="n"/>
    </row>
    <row r="601">
      <c r="B601" s="59" t="n"/>
      <c r="D601" s="51" t="n"/>
      <c r="I601" s="51" t="n"/>
      <c r="J601" s="51" t="n"/>
      <c r="K601" s="51" t="n"/>
      <c r="N601" s="51" t="n"/>
      <c r="P601" s="51" t="n"/>
      <c r="Q601" s="51" t="n"/>
    </row>
    <row r="602">
      <c r="B602" s="59" t="n"/>
      <c r="D602" s="51" t="n"/>
      <c r="I602" s="51" t="n"/>
      <c r="J602" s="51" t="n"/>
      <c r="K602" s="51" t="n"/>
      <c r="N602" s="51" t="n"/>
      <c r="P602" s="51" t="n"/>
      <c r="Q602" s="51" t="n"/>
    </row>
    <row r="603">
      <c r="B603" s="59" t="n"/>
      <c r="D603" s="51" t="n"/>
      <c r="I603" s="51" t="n"/>
      <c r="J603" s="51" t="n"/>
      <c r="K603" s="51" t="n"/>
      <c r="N603" s="51" t="n"/>
      <c r="P603" s="51" t="n"/>
      <c r="Q603" s="51" t="n"/>
    </row>
    <row r="604">
      <c r="B604" s="59" t="n"/>
      <c r="D604" s="51" t="n"/>
      <c r="I604" s="51" t="n"/>
      <c r="J604" s="51" t="n"/>
      <c r="K604" s="51" t="n"/>
      <c r="N604" s="51" t="n"/>
      <c r="P604" s="51" t="n"/>
      <c r="Q604" s="51" t="n"/>
    </row>
    <row r="605">
      <c r="B605" s="59" t="n"/>
      <c r="D605" s="51" t="n"/>
      <c r="I605" s="51" t="n"/>
      <c r="J605" s="51" t="n"/>
      <c r="K605" s="51" t="n"/>
      <c r="N605" s="51" t="n"/>
      <c r="P605" s="51" t="n"/>
      <c r="Q605" s="51" t="n"/>
    </row>
    <row r="606">
      <c r="B606" s="59" t="n"/>
      <c r="D606" s="51" t="n"/>
      <c r="I606" s="51" t="n"/>
      <c r="J606" s="51" t="n"/>
      <c r="K606" s="51" t="n"/>
      <c r="N606" s="51" t="n"/>
      <c r="P606" s="51" t="n"/>
      <c r="Q606" s="51" t="n"/>
    </row>
    <row r="607">
      <c r="B607" s="59" t="n"/>
      <c r="D607" s="51" t="n"/>
      <c r="I607" s="51" t="n"/>
      <c r="J607" s="51" t="n"/>
      <c r="K607" s="51" t="n"/>
      <c r="N607" s="51" t="n"/>
      <c r="P607" s="51" t="n"/>
      <c r="Q607" s="51" t="n"/>
    </row>
    <row r="608">
      <c r="B608" s="59" t="n"/>
      <c r="D608" s="51" t="n"/>
      <c r="I608" s="51" t="n"/>
      <c r="J608" s="51" t="n"/>
      <c r="K608" s="51" t="n"/>
      <c r="N608" s="51" t="n"/>
      <c r="P608" s="51" t="n"/>
      <c r="Q608" s="51" t="n"/>
    </row>
    <row r="609">
      <c r="B609" s="59" t="n"/>
      <c r="D609" s="51" t="n"/>
      <c r="I609" s="51" t="n"/>
      <c r="J609" s="51" t="n"/>
      <c r="K609" s="51" t="n"/>
      <c r="N609" s="51" t="n"/>
      <c r="P609" s="51" t="n"/>
      <c r="Q609" s="51" t="n"/>
    </row>
    <row r="610">
      <c r="B610" s="59" t="n"/>
      <c r="D610" s="51" t="n"/>
      <c r="I610" s="51" t="n"/>
      <c r="J610" s="51" t="n"/>
      <c r="K610" s="51" t="n"/>
      <c r="N610" s="51" t="n"/>
      <c r="P610" s="51" t="n"/>
      <c r="Q610" s="51" t="n"/>
    </row>
    <row r="611">
      <c r="B611" s="59" t="n"/>
      <c r="D611" s="51" t="n"/>
      <c r="I611" s="51" t="n"/>
      <c r="J611" s="51" t="n"/>
      <c r="K611" s="51" t="n"/>
      <c r="N611" s="51" t="n"/>
      <c r="P611" s="51" t="n"/>
      <c r="Q611" s="51" t="n"/>
    </row>
    <row r="612">
      <c r="B612" s="59" t="n"/>
      <c r="D612" s="51" t="n"/>
      <c r="I612" s="51" t="n"/>
      <c r="J612" s="51" t="n"/>
      <c r="K612" s="51" t="n"/>
      <c r="N612" s="51" t="n"/>
      <c r="P612" s="51" t="n"/>
      <c r="Q612" s="51" t="n"/>
    </row>
    <row r="613">
      <c r="B613" s="59" t="n"/>
      <c r="D613" s="51" t="n"/>
      <c r="I613" s="51" t="n"/>
      <c r="J613" s="51" t="n"/>
      <c r="K613" s="51" t="n"/>
      <c r="N613" s="51" t="n"/>
      <c r="P613" s="51" t="n"/>
      <c r="Q613" s="51" t="n"/>
    </row>
    <row r="614">
      <c r="B614" s="59" t="n"/>
      <c r="D614" s="51" t="n"/>
      <c r="I614" s="51" t="n"/>
      <c r="J614" s="51" t="n"/>
      <c r="K614" s="51" t="n"/>
      <c r="N614" s="51" t="n"/>
      <c r="P614" s="51" t="n"/>
      <c r="Q614" s="51" t="n"/>
    </row>
    <row r="615">
      <c r="B615" s="59" t="n"/>
      <c r="D615" s="51" t="n"/>
      <c r="I615" s="51" t="n"/>
      <c r="J615" s="51" t="n"/>
      <c r="K615" s="51" t="n"/>
      <c r="N615" s="51" t="n"/>
      <c r="P615" s="51" t="n"/>
      <c r="Q615" s="51" t="n"/>
    </row>
    <row r="616">
      <c r="B616" s="59" t="n"/>
      <c r="D616" s="51" t="n"/>
      <c r="I616" s="51" t="n"/>
      <c r="J616" s="51" t="n"/>
      <c r="K616" s="51" t="n"/>
      <c r="N616" s="51" t="n"/>
      <c r="P616" s="51" t="n"/>
      <c r="Q616" s="51" t="n"/>
    </row>
    <row r="617">
      <c r="B617" s="59" t="n"/>
      <c r="D617" s="51" t="n"/>
      <c r="I617" s="51" t="n"/>
      <c r="J617" s="51" t="n"/>
      <c r="K617" s="51" t="n"/>
      <c r="N617" s="51" t="n"/>
      <c r="P617" s="51" t="n"/>
      <c r="Q617" s="51" t="n"/>
    </row>
    <row r="618">
      <c r="B618" s="59" t="n"/>
      <c r="D618" s="51" t="n"/>
      <c r="I618" s="51" t="n"/>
      <c r="J618" s="51" t="n"/>
      <c r="K618" s="51" t="n"/>
      <c r="N618" s="51" t="n"/>
      <c r="P618" s="51" t="n"/>
      <c r="Q618" s="51" t="n"/>
    </row>
    <row r="619">
      <c r="B619" s="59" t="n"/>
      <c r="D619" s="51" t="n"/>
      <c r="I619" s="51" t="n"/>
      <c r="J619" s="51" t="n"/>
      <c r="K619" s="51" t="n"/>
      <c r="N619" s="51" t="n"/>
      <c r="P619" s="51" t="n"/>
      <c r="Q619" s="51" t="n"/>
    </row>
    <row r="620">
      <c r="B620" s="59" t="n"/>
      <c r="D620" s="51" t="n"/>
      <c r="I620" s="51" t="n"/>
      <c r="J620" s="51" t="n"/>
      <c r="K620" s="51" t="n"/>
      <c r="N620" s="51" t="n"/>
      <c r="P620" s="51" t="n"/>
      <c r="Q620" s="51" t="n"/>
    </row>
    <row r="621">
      <c r="B621" s="59" t="n"/>
      <c r="D621" s="51" t="n"/>
      <c r="I621" s="51" t="n"/>
      <c r="J621" s="51" t="n"/>
      <c r="K621" s="51" t="n"/>
      <c r="N621" s="51" t="n"/>
      <c r="P621" s="51" t="n"/>
      <c r="Q621" s="51" t="n"/>
    </row>
    <row r="622">
      <c r="B622" s="59" t="n"/>
      <c r="D622" s="51" t="n"/>
      <c r="I622" s="51" t="n"/>
      <c r="J622" s="51" t="n"/>
      <c r="K622" s="51" t="n"/>
      <c r="N622" s="51" t="n"/>
      <c r="P622" s="51" t="n"/>
      <c r="Q622" s="51" t="n"/>
    </row>
    <row r="623">
      <c r="B623" s="59" t="n"/>
      <c r="D623" s="51" t="n"/>
      <c r="I623" s="51" t="n"/>
      <c r="J623" s="51" t="n"/>
      <c r="K623" s="51" t="n"/>
      <c r="N623" s="51" t="n"/>
      <c r="P623" s="51" t="n"/>
      <c r="Q623" s="51" t="n"/>
    </row>
    <row r="624">
      <c r="B624" s="59" t="n"/>
      <c r="D624" s="51" t="n"/>
      <c r="I624" s="51" t="n"/>
      <c r="J624" s="51" t="n"/>
      <c r="K624" s="51" t="n"/>
      <c r="N624" s="51" t="n"/>
      <c r="P624" s="51" t="n"/>
      <c r="Q624" s="51" t="n"/>
    </row>
    <row r="625">
      <c r="B625" s="59" t="n"/>
      <c r="D625" s="51" t="n"/>
      <c r="I625" s="51" t="n"/>
      <c r="J625" s="51" t="n"/>
      <c r="K625" s="51" t="n"/>
      <c r="N625" s="51" t="n"/>
      <c r="P625" s="51" t="n"/>
      <c r="Q625" s="51" t="n"/>
    </row>
    <row r="626">
      <c r="B626" s="59" t="n"/>
      <c r="D626" s="51" t="n"/>
      <c r="I626" s="51" t="n"/>
      <c r="J626" s="51" t="n"/>
      <c r="K626" s="51" t="n"/>
      <c r="N626" s="51" t="n"/>
      <c r="P626" s="51" t="n"/>
      <c r="Q626" s="51" t="n"/>
    </row>
    <row r="627">
      <c r="B627" s="59" t="n"/>
      <c r="D627" s="51" t="n"/>
      <c r="I627" s="51" t="n"/>
      <c r="J627" s="51" t="n"/>
      <c r="K627" s="51" t="n"/>
      <c r="N627" s="51" t="n"/>
      <c r="P627" s="51" t="n"/>
      <c r="Q627" s="51" t="n"/>
    </row>
    <row r="628">
      <c r="B628" s="59" t="n"/>
      <c r="D628" s="51" t="n"/>
      <c r="I628" s="51" t="n"/>
      <c r="J628" s="51" t="n"/>
      <c r="K628" s="51" t="n"/>
      <c r="N628" s="51" t="n"/>
      <c r="P628" s="51" t="n"/>
      <c r="Q628" s="51" t="n"/>
    </row>
    <row r="629">
      <c r="B629" s="59" t="n"/>
      <c r="D629" s="51" t="n"/>
      <c r="I629" s="51" t="n"/>
      <c r="J629" s="51" t="n"/>
      <c r="K629" s="51" t="n"/>
      <c r="N629" s="51" t="n"/>
      <c r="P629" s="51" t="n"/>
      <c r="Q629" s="51" t="n"/>
    </row>
    <row r="630">
      <c r="B630" s="59" t="n"/>
      <c r="D630" s="51" t="n"/>
      <c r="I630" s="51" t="n"/>
      <c r="J630" s="51" t="n"/>
      <c r="K630" s="51" t="n"/>
      <c r="N630" s="51" t="n"/>
      <c r="P630" s="51" t="n"/>
      <c r="Q630" s="51" t="n"/>
    </row>
    <row r="631">
      <c r="B631" s="59" t="n"/>
      <c r="D631" s="51" t="n"/>
      <c r="I631" s="51" t="n"/>
      <c r="J631" s="51" t="n"/>
      <c r="K631" s="51" t="n"/>
      <c r="N631" s="51" t="n"/>
      <c r="P631" s="51" t="n"/>
      <c r="Q631" s="51" t="n"/>
    </row>
    <row r="632">
      <c r="B632" s="59" t="n"/>
      <c r="D632" s="51" t="n"/>
      <c r="I632" s="51" t="n"/>
      <c r="J632" s="51" t="n"/>
      <c r="K632" s="51" t="n"/>
      <c r="N632" s="51" t="n"/>
      <c r="P632" s="51" t="n"/>
      <c r="Q632" s="51" t="n"/>
    </row>
    <row r="633">
      <c r="B633" s="59" t="n"/>
      <c r="D633" s="51" t="n"/>
      <c r="I633" s="51" t="n"/>
      <c r="J633" s="51" t="n"/>
      <c r="K633" s="51" t="n"/>
      <c r="N633" s="51" t="n"/>
      <c r="P633" s="51" t="n"/>
      <c r="Q633" s="51" t="n"/>
    </row>
    <row r="634">
      <c r="B634" s="59" t="n"/>
      <c r="D634" s="51" t="n"/>
      <c r="I634" s="51" t="n"/>
      <c r="J634" s="51" t="n"/>
      <c r="K634" s="51" t="n"/>
      <c r="N634" s="51" t="n"/>
      <c r="P634" s="51" t="n"/>
      <c r="Q634" s="51" t="n"/>
    </row>
    <row r="635">
      <c r="B635" s="59" t="n"/>
      <c r="D635" s="51" t="n"/>
      <c r="I635" s="51" t="n"/>
      <c r="J635" s="51" t="n"/>
      <c r="K635" s="51" t="n"/>
      <c r="N635" s="51" t="n"/>
      <c r="P635" s="51" t="n"/>
      <c r="Q635" s="51" t="n"/>
    </row>
    <row r="636">
      <c r="B636" s="59" t="n"/>
      <c r="D636" s="51" t="n"/>
      <c r="I636" s="51" t="n"/>
      <c r="J636" s="51" t="n"/>
      <c r="K636" s="51" t="n"/>
      <c r="N636" s="51" t="n"/>
      <c r="P636" s="51" t="n"/>
      <c r="Q636" s="51" t="n"/>
    </row>
    <row r="637">
      <c r="B637" s="59" t="n"/>
      <c r="D637" s="51" t="n"/>
      <c r="I637" s="51" t="n"/>
      <c r="J637" s="51" t="n"/>
      <c r="K637" s="51" t="n"/>
      <c r="N637" s="51" t="n"/>
      <c r="P637" s="51" t="n"/>
      <c r="Q637" s="51" t="n"/>
    </row>
    <row r="638">
      <c r="B638" s="59" t="n"/>
      <c r="D638" s="51" t="n"/>
      <c r="I638" s="51" t="n"/>
      <c r="J638" s="51" t="n"/>
      <c r="K638" s="51" t="n"/>
      <c r="N638" s="51" t="n"/>
      <c r="P638" s="51" t="n"/>
      <c r="Q638" s="51" t="n"/>
    </row>
    <row r="639">
      <c r="B639" s="59" t="n"/>
      <c r="D639" s="51" t="n"/>
      <c r="I639" s="51" t="n"/>
      <c r="J639" s="51" t="n"/>
      <c r="K639" s="51" t="n"/>
      <c r="N639" s="51" t="n"/>
      <c r="P639" s="51" t="n"/>
      <c r="Q639" s="51" t="n"/>
    </row>
    <row r="640">
      <c r="B640" s="59" t="n"/>
      <c r="D640" s="51" t="n"/>
      <c r="I640" s="51" t="n"/>
      <c r="J640" s="51" t="n"/>
      <c r="K640" s="51" t="n"/>
      <c r="N640" s="51" t="n"/>
      <c r="P640" s="51" t="n"/>
      <c r="Q640" s="51" t="n"/>
    </row>
    <row r="641">
      <c r="B641" s="59" t="n"/>
      <c r="D641" s="51" t="n"/>
      <c r="I641" s="51" t="n"/>
      <c r="J641" s="51" t="n"/>
      <c r="K641" s="51" t="n"/>
      <c r="N641" s="51" t="n"/>
      <c r="P641" s="51" t="n"/>
      <c r="Q641" s="51" t="n"/>
    </row>
    <row r="642">
      <c r="B642" s="59" t="n"/>
      <c r="D642" s="51" t="n"/>
      <c r="I642" s="51" t="n"/>
      <c r="J642" s="51" t="n"/>
      <c r="K642" s="51" t="n"/>
      <c r="N642" s="51" t="n"/>
      <c r="P642" s="51" t="n"/>
      <c r="Q642" s="51" t="n"/>
    </row>
    <row r="643">
      <c r="B643" s="59" t="n"/>
      <c r="D643" s="51" t="n"/>
      <c r="I643" s="51" t="n"/>
      <c r="J643" s="51" t="n"/>
      <c r="K643" s="51" t="n"/>
      <c r="N643" s="51" t="n"/>
      <c r="P643" s="51" t="n"/>
      <c r="Q643" s="51" t="n"/>
    </row>
    <row r="644">
      <c r="B644" s="59" t="n"/>
      <c r="D644" s="51" t="n"/>
      <c r="I644" s="51" t="n"/>
      <c r="J644" s="51" t="n"/>
      <c r="K644" s="51" t="n"/>
      <c r="N644" s="51" t="n"/>
      <c r="P644" s="51" t="n"/>
      <c r="Q644" s="51" t="n"/>
    </row>
    <row r="645">
      <c r="B645" s="59" t="n"/>
      <c r="D645" s="51" t="n"/>
      <c r="I645" s="51" t="n"/>
      <c r="J645" s="51" t="n"/>
      <c r="K645" s="51" t="n"/>
      <c r="N645" s="51" t="n"/>
      <c r="P645" s="51" t="n"/>
      <c r="Q645" s="51" t="n"/>
    </row>
    <row r="646">
      <c r="B646" s="59" t="n"/>
      <c r="D646" s="51" t="n"/>
      <c r="I646" s="51" t="n"/>
      <c r="J646" s="51" t="n"/>
      <c r="K646" s="51" t="n"/>
      <c r="N646" s="51" t="n"/>
      <c r="P646" s="51" t="n"/>
      <c r="Q646" s="51" t="n"/>
    </row>
    <row r="647">
      <c r="B647" s="59" t="n"/>
      <c r="D647" s="51" t="n"/>
      <c r="I647" s="51" t="n"/>
      <c r="J647" s="51" t="n"/>
      <c r="K647" s="51" t="n"/>
      <c r="N647" s="51" t="n"/>
      <c r="P647" s="51" t="n"/>
      <c r="Q647" s="51" t="n"/>
    </row>
    <row r="648">
      <c r="B648" s="59" t="n"/>
      <c r="D648" s="51" t="n"/>
      <c r="I648" s="51" t="n"/>
      <c r="J648" s="51" t="n"/>
      <c r="K648" s="51" t="n"/>
      <c r="N648" s="51" t="n"/>
      <c r="P648" s="51" t="n"/>
      <c r="Q648" s="51" t="n"/>
    </row>
    <row r="649">
      <c r="B649" s="59" t="n"/>
      <c r="D649" s="51" t="n"/>
      <c r="I649" s="51" t="n"/>
      <c r="J649" s="51" t="n"/>
      <c r="K649" s="51" t="n"/>
      <c r="N649" s="51" t="n"/>
      <c r="P649" s="51" t="n"/>
      <c r="Q649" s="51" t="n"/>
    </row>
    <row r="650">
      <c r="B650" s="59" t="n"/>
      <c r="D650" s="51" t="n"/>
      <c r="I650" s="51" t="n"/>
      <c r="J650" s="51" t="n"/>
      <c r="K650" s="51" t="n"/>
      <c r="N650" s="51" t="n"/>
      <c r="P650" s="51" t="n"/>
      <c r="Q650" s="51" t="n"/>
    </row>
    <row r="651">
      <c r="B651" s="59" t="n"/>
      <c r="D651" s="51" t="n"/>
      <c r="I651" s="51" t="n"/>
      <c r="J651" s="51" t="n"/>
      <c r="K651" s="51" t="n"/>
      <c r="N651" s="51" t="n"/>
      <c r="P651" s="51" t="n"/>
      <c r="Q651" s="51" t="n"/>
    </row>
    <row r="652">
      <c r="B652" s="59" t="n"/>
      <c r="D652" s="51" t="n"/>
      <c r="I652" s="51" t="n"/>
      <c r="J652" s="51" t="n"/>
      <c r="K652" s="51" t="n"/>
      <c r="N652" s="51" t="n"/>
      <c r="P652" s="51" t="n"/>
      <c r="Q652" s="51" t="n"/>
    </row>
    <row r="653">
      <c r="B653" s="59" t="n"/>
      <c r="D653" s="51" t="n"/>
      <c r="I653" s="51" t="n"/>
      <c r="J653" s="51" t="n"/>
      <c r="K653" s="51" t="n"/>
      <c r="N653" s="51" t="n"/>
      <c r="P653" s="51" t="n"/>
      <c r="Q653" s="51" t="n"/>
    </row>
    <row r="654">
      <c r="B654" s="59" t="n"/>
      <c r="D654" s="51" t="n"/>
      <c r="I654" s="51" t="n"/>
      <c r="J654" s="51" t="n"/>
      <c r="K654" s="51" t="n"/>
      <c r="N654" s="51" t="n"/>
      <c r="P654" s="51" t="n"/>
      <c r="Q654" s="51" t="n"/>
    </row>
    <row r="655">
      <c r="B655" s="59" t="n"/>
      <c r="D655" s="51" t="n"/>
      <c r="I655" s="51" t="n"/>
      <c r="J655" s="51" t="n"/>
      <c r="K655" s="51" t="n"/>
      <c r="N655" s="51" t="n"/>
      <c r="P655" s="51" t="n"/>
      <c r="Q655" s="51" t="n"/>
    </row>
    <row r="656">
      <c r="B656" s="59" t="n"/>
      <c r="D656" s="51" t="n"/>
      <c r="I656" s="51" t="n"/>
      <c r="J656" s="51" t="n"/>
      <c r="K656" s="51" t="n"/>
      <c r="N656" s="51" t="n"/>
      <c r="P656" s="51" t="n"/>
      <c r="Q656" s="51" t="n"/>
    </row>
    <row r="657">
      <c r="B657" s="59" t="n"/>
      <c r="D657" s="51" t="n"/>
      <c r="I657" s="51" t="n"/>
      <c r="J657" s="51" t="n"/>
      <c r="K657" s="51" t="n"/>
      <c r="N657" s="51" t="n"/>
      <c r="P657" s="51" t="n"/>
      <c r="Q657" s="51" t="n"/>
    </row>
    <row r="658">
      <c r="B658" s="59" t="n"/>
      <c r="D658" s="51" t="n"/>
      <c r="I658" s="51" t="n"/>
      <c r="J658" s="51" t="n"/>
      <c r="K658" s="51" t="n"/>
      <c r="N658" s="51" t="n"/>
      <c r="P658" s="51" t="n"/>
      <c r="Q658" s="51" t="n"/>
    </row>
    <row r="659">
      <c r="B659" s="59" t="n"/>
      <c r="D659" s="51" t="n"/>
      <c r="I659" s="51" t="n"/>
      <c r="J659" s="51" t="n"/>
      <c r="K659" s="51" t="n"/>
      <c r="N659" s="51" t="n"/>
      <c r="P659" s="51" t="n"/>
      <c r="Q659" s="51" t="n"/>
    </row>
    <row r="660">
      <c r="B660" s="59" t="n"/>
      <c r="D660" s="51" t="n"/>
      <c r="I660" s="51" t="n"/>
      <c r="J660" s="51" t="n"/>
      <c r="K660" s="51" t="n"/>
      <c r="N660" s="51" t="n"/>
      <c r="P660" s="51" t="n"/>
      <c r="Q660" s="51" t="n"/>
    </row>
    <row r="661">
      <c r="B661" s="59" t="n"/>
      <c r="D661" s="51" t="n"/>
      <c r="I661" s="51" t="n"/>
      <c r="J661" s="51" t="n"/>
      <c r="K661" s="51" t="n"/>
      <c r="N661" s="51" t="n"/>
      <c r="P661" s="51" t="n"/>
      <c r="Q661" s="51" t="n"/>
    </row>
    <row r="662">
      <c r="B662" s="59" t="n"/>
      <c r="D662" s="51" t="n"/>
      <c r="I662" s="51" t="n"/>
      <c r="J662" s="51" t="n"/>
      <c r="K662" s="51" t="n"/>
      <c r="N662" s="51" t="n"/>
      <c r="P662" s="51" t="n"/>
      <c r="Q662" s="51" t="n"/>
    </row>
    <row r="663">
      <c r="B663" s="59" t="n"/>
      <c r="D663" s="51" t="n"/>
      <c r="I663" s="51" t="n"/>
      <c r="J663" s="51" t="n"/>
      <c r="K663" s="51" t="n"/>
      <c r="N663" s="51" t="n"/>
      <c r="P663" s="51" t="n"/>
      <c r="Q663" s="51" t="n"/>
    </row>
    <row r="664">
      <c r="B664" s="59" t="n"/>
      <c r="D664" s="51" t="n"/>
      <c r="I664" s="51" t="n"/>
      <c r="J664" s="51" t="n"/>
      <c r="K664" s="51" t="n"/>
      <c r="N664" s="51" t="n"/>
      <c r="P664" s="51" t="n"/>
      <c r="Q664" s="51" t="n"/>
    </row>
    <row r="665">
      <c r="B665" s="59" t="n"/>
      <c r="D665" s="51" t="n"/>
      <c r="I665" s="51" t="n"/>
      <c r="J665" s="51" t="n"/>
      <c r="K665" s="51" t="n"/>
      <c r="N665" s="51" t="n"/>
      <c r="P665" s="51" t="n"/>
      <c r="Q665" s="51" t="n"/>
    </row>
    <row r="666">
      <c r="B666" s="59" t="n"/>
      <c r="D666" s="51" t="n"/>
      <c r="I666" s="51" t="n"/>
      <c r="J666" s="51" t="n"/>
      <c r="K666" s="51" t="n"/>
      <c r="N666" s="51" t="n"/>
      <c r="P666" s="51" t="n"/>
      <c r="Q666" s="51" t="n"/>
    </row>
    <row r="667">
      <c r="B667" s="59" t="n"/>
      <c r="D667" s="51" t="n"/>
      <c r="I667" s="51" t="n"/>
      <c r="J667" s="51" t="n"/>
      <c r="K667" s="51" t="n"/>
      <c r="N667" s="51" t="n"/>
      <c r="P667" s="51" t="n"/>
      <c r="Q667" s="51" t="n"/>
    </row>
    <row r="668">
      <c r="B668" s="59" t="n"/>
      <c r="D668" s="51" t="n"/>
      <c r="I668" s="51" t="n"/>
      <c r="J668" s="51" t="n"/>
      <c r="K668" s="51" t="n"/>
      <c r="N668" s="51" t="n"/>
      <c r="P668" s="51" t="n"/>
      <c r="Q668" s="51" t="n"/>
    </row>
    <row r="669">
      <c r="B669" s="59" t="n"/>
      <c r="D669" s="51" t="n"/>
      <c r="I669" s="51" t="n"/>
      <c r="J669" s="51" t="n"/>
      <c r="K669" s="51" t="n"/>
      <c r="N669" s="51" t="n"/>
      <c r="P669" s="51" t="n"/>
      <c r="Q669" s="51" t="n"/>
    </row>
    <row r="670">
      <c r="B670" s="59" t="n"/>
      <c r="D670" s="51" t="n"/>
      <c r="I670" s="51" t="n"/>
      <c r="J670" s="51" t="n"/>
      <c r="K670" s="51" t="n"/>
      <c r="N670" s="51" t="n"/>
      <c r="P670" s="51" t="n"/>
      <c r="Q670" s="51" t="n"/>
    </row>
    <row r="671">
      <c r="B671" s="59" t="n"/>
      <c r="D671" s="51" t="n"/>
      <c r="I671" s="51" t="n"/>
      <c r="J671" s="51" t="n"/>
      <c r="K671" s="51" t="n"/>
      <c r="N671" s="51" t="n"/>
      <c r="P671" s="51" t="n"/>
      <c r="Q671" s="51" t="n"/>
    </row>
    <row r="672">
      <c r="B672" s="59" t="n"/>
      <c r="D672" s="51" t="n"/>
      <c r="I672" s="51" t="n"/>
      <c r="J672" s="51" t="n"/>
      <c r="K672" s="51" t="n"/>
      <c r="N672" s="51" t="n"/>
      <c r="P672" s="51" t="n"/>
      <c r="Q672" s="51" t="n"/>
    </row>
    <row r="673">
      <c r="B673" s="59" t="n"/>
      <c r="D673" s="51" t="n"/>
      <c r="I673" s="51" t="n"/>
      <c r="J673" s="51" t="n"/>
      <c r="K673" s="51" t="n"/>
      <c r="N673" s="51" t="n"/>
      <c r="P673" s="51" t="n"/>
      <c r="Q673" s="51" t="n"/>
    </row>
    <row r="674">
      <c r="B674" s="59" t="n"/>
      <c r="D674" s="51" t="n"/>
      <c r="I674" s="51" t="n"/>
      <c r="J674" s="51" t="n"/>
      <c r="K674" s="51" t="n"/>
      <c r="N674" s="51" t="n"/>
      <c r="P674" s="51" t="n"/>
      <c r="Q674" s="51" t="n"/>
    </row>
    <row r="675">
      <c r="B675" s="59" t="n"/>
      <c r="D675" s="51" t="n"/>
      <c r="I675" s="51" t="n"/>
      <c r="J675" s="51" t="n"/>
      <c r="K675" s="51" t="n"/>
      <c r="N675" s="51" t="n"/>
      <c r="P675" s="51" t="n"/>
      <c r="Q675" s="51" t="n"/>
    </row>
    <row r="676">
      <c r="B676" s="59" t="n"/>
      <c r="D676" s="51" t="n"/>
      <c r="I676" s="51" t="n"/>
      <c r="J676" s="51" t="n"/>
      <c r="K676" s="51" t="n"/>
      <c r="N676" s="51" t="n"/>
      <c r="P676" s="51" t="n"/>
      <c r="Q676" s="51" t="n"/>
    </row>
    <row r="677">
      <c r="B677" s="59" t="n"/>
      <c r="D677" s="51" t="n"/>
      <c r="I677" s="51" t="n"/>
      <c r="J677" s="51" t="n"/>
      <c r="K677" s="51" t="n"/>
      <c r="N677" s="51" t="n"/>
      <c r="P677" s="51" t="n"/>
      <c r="Q677" s="51" t="n"/>
    </row>
    <row r="678">
      <c r="B678" s="59" t="n"/>
      <c r="D678" s="51" t="n"/>
      <c r="I678" s="51" t="n"/>
      <c r="J678" s="51" t="n"/>
      <c r="K678" s="51" t="n"/>
      <c r="N678" s="51" t="n"/>
      <c r="P678" s="51" t="n"/>
      <c r="Q678" s="51" t="n"/>
    </row>
    <row r="679">
      <c r="B679" s="59" t="n"/>
      <c r="D679" s="51" t="n"/>
      <c r="I679" s="51" t="n"/>
      <c r="J679" s="51" t="n"/>
      <c r="K679" s="51" t="n"/>
      <c r="N679" s="51" t="n"/>
      <c r="P679" s="51" t="n"/>
      <c r="Q679" s="51" t="n"/>
    </row>
    <row r="680">
      <c r="B680" s="59" t="n"/>
      <c r="D680" s="51" t="n"/>
      <c r="I680" s="51" t="n"/>
      <c r="J680" s="51" t="n"/>
      <c r="K680" s="51" t="n"/>
      <c r="N680" s="51" t="n"/>
      <c r="P680" s="51" t="n"/>
      <c r="Q680" s="51" t="n"/>
    </row>
    <row r="681">
      <c r="B681" s="59" t="n"/>
      <c r="D681" s="51" t="n"/>
      <c r="I681" s="51" t="n"/>
      <c r="J681" s="51" t="n"/>
      <c r="K681" s="51" t="n"/>
      <c r="N681" s="51" t="n"/>
      <c r="P681" s="51" t="n"/>
      <c r="Q681" s="51" t="n"/>
    </row>
    <row r="682">
      <c r="B682" s="59" t="n"/>
      <c r="D682" s="51" t="n"/>
      <c r="I682" s="51" t="n"/>
      <c r="J682" s="51" t="n"/>
      <c r="K682" s="51" t="n"/>
      <c r="N682" s="51" t="n"/>
      <c r="P682" s="51" t="n"/>
      <c r="Q682" s="51" t="n"/>
    </row>
    <row r="683">
      <c r="B683" s="59" t="n"/>
      <c r="D683" s="51" t="n"/>
      <c r="I683" s="51" t="n"/>
      <c r="J683" s="51" t="n"/>
      <c r="K683" s="51" t="n"/>
      <c r="N683" s="51" t="n"/>
      <c r="P683" s="51" t="n"/>
      <c r="Q683" s="51" t="n"/>
    </row>
    <row r="684">
      <c r="B684" s="59" t="n"/>
      <c r="D684" s="51" t="n"/>
      <c r="I684" s="51" t="n"/>
      <c r="J684" s="51" t="n"/>
      <c r="K684" s="51" t="n"/>
      <c r="N684" s="51" t="n"/>
      <c r="P684" s="51" t="n"/>
      <c r="Q684" s="51" t="n"/>
    </row>
    <row r="685">
      <c r="B685" s="59" t="n"/>
      <c r="D685" s="51" t="n"/>
      <c r="I685" s="51" t="n"/>
      <c r="J685" s="51" t="n"/>
      <c r="K685" s="51" t="n"/>
      <c r="N685" s="51" t="n"/>
      <c r="P685" s="51" t="n"/>
      <c r="Q685" s="51" t="n"/>
    </row>
    <row r="686">
      <c r="B686" s="59" t="n"/>
      <c r="D686" s="51" t="n"/>
      <c r="I686" s="51" t="n"/>
      <c r="J686" s="51" t="n"/>
      <c r="K686" s="51" t="n"/>
      <c r="N686" s="51" t="n"/>
      <c r="P686" s="51" t="n"/>
      <c r="Q686" s="51" t="n"/>
    </row>
    <row r="687">
      <c r="B687" s="59" t="n"/>
      <c r="D687" s="51" t="n"/>
      <c r="I687" s="51" t="n"/>
      <c r="J687" s="51" t="n"/>
      <c r="K687" s="51" t="n"/>
      <c r="N687" s="51" t="n"/>
      <c r="P687" s="51" t="n"/>
      <c r="Q687" s="51" t="n"/>
    </row>
    <row r="688">
      <c r="B688" s="59" t="n"/>
      <c r="D688" s="51" t="n"/>
      <c r="I688" s="51" t="n"/>
      <c r="J688" s="51" t="n"/>
      <c r="K688" s="51" t="n"/>
      <c r="N688" s="51" t="n"/>
      <c r="P688" s="51" t="n"/>
      <c r="Q688" s="51" t="n"/>
    </row>
    <row r="689">
      <c r="B689" s="59" t="n"/>
      <c r="D689" s="51" t="n"/>
      <c r="I689" s="51" t="n"/>
      <c r="J689" s="51" t="n"/>
      <c r="K689" s="51" t="n"/>
      <c r="N689" s="51" t="n"/>
      <c r="P689" s="51" t="n"/>
      <c r="Q689" s="51" t="n"/>
    </row>
    <row r="690">
      <c r="B690" s="59" t="n"/>
      <c r="D690" s="51" t="n"/>
      <c r="I690" s="51" t="n"/>
      <c r="J690" s="51" t="n"/>
      <c r="K690" s="51" t="n"/>
      <c r="N690" s="51" t="n"/>
      <c r="P690" s="51" t="n"/>
      <c r="Q690" s="51" t="n"/>
    </row>
    <row r="691">
      <c r="B691" s="59" t="n"/>
      <c r="D691" s="51" t="n"/>
      <c r="I691" s="51" t="n"/>
      <c r="J691" s="51" t="n"/>
      <c r="K691" s="51" t="n"/>
      <c r="N691" s="51" t="n"/>
      <c r="P691" s="51" t="n"/>
      <c r="Q691" s="51" t="n"/>
    </row>
    <row r="692">
      <c r="B692" s="59" t="n"/>
      <c r="D692" s="51" t="n"/>
      <c r="I692" s="51" t="n"/>
      <c r="J692" s="51" t="n"/>
      <c r="K692" s="51" t="n"/>
      <c r="N692" s="51" t="n"/>
      <c r="P692" s="51" t="n"/>
      <c r="Q692" s="51" t="n"/>
    </row>
    <row r="693">
      <c r="B693" s="59" t="n"/>
      <c r="D693" s="51" t="n"/>
      <c r="I693" s="51" t="n"/>
      <c r="J693" s="51" t="n"/>
      <c r="K693" s="51" t="n"/>
      <c r="N693" s="51" t="n"/>
      <c r="P693" s="51" t="n"/>
      <c r="Q693" s="51" t="n"/>
    </row>
    <row r="694">
      <c r="B694" s="59" t="n"/>
      <c r="D694" s="51" t="n"/>
      <c r="I694" s="51" t="n"/>
      <c r="J694" s="51" t="n"/>
      <c r="K694" s="51" t="n"/>
      <c r="N694" s="51" t="n"/>
      <c r="P694" s="51" t="n"/>
      <c r="Q694" s="51" t="n"/>
    </row>
    <row r="695">
      <c r="B695" s="59" t="n"/>
      <c r="D695" s="51" t="n"/>
      <c r="I695" s="51" t="n"/>
      <c r="J695" s="51" t="n"/>
      <c r="K695" s="51" t="n"/>
      <c r="N695" s="51" t="n"/>
      <c r="P695" s="51" t="n"/>
      <c r="Q695" s="51" t="n"/>
    </row>
    <row r="696">
      <c r="B696" s="59" t="n"/>
      <c r="D696" s="51" t="n"/>
      <c r="I696" s="51" t="n"/>
      <c r="J696" s="51" t="n"/>
      <c r="K696" s="51" t="n"/>
      <c r="N696" s="51" t="n"/>
      <c r="P696" s="51" t="n"/>
      <c r="Q696" s="51" t="n"/>
    </row>
    <row r="697">
      <c r="B697" s="59" t="n"/>
      <c r="D697" s="51" t="n"/>
      <c r="I697" s="51" t="n"/>
      <c r="J697" s="51" t="n"/>
      <c r="K697" s="51" t="n"/>
      <c r="N697" s="51" t="n"/>
      <c r="P697" s="51" t="n"/>
      <c r="Q697" s="51" t="n"/>
    </row>
    <row r="698">
      <c r="B698" s="59" t="n"/>
      <c r="D698" s="51" t="n"/>
      <c r="I698" s="51" t="n"/>
      <c r="J698" s="51" t="n"/>
      <c r="K698" s="51" t="n"/>
      <c r="N698" s="51" t="n"/>
      <c r="P698" s="51" t="n"/>
      <c r="Q698" s="51" t="n"/>
    </row>
    <row r="699">
      <c r="B699" s="59" t="n"/>
      <c r="D699" s="51" t="n"/>
      <c r="I699" s="51" t="n"/>
      <c r="J699" s="51" t="n"/>
      <c r="K699" s="51" t="n"/>
      <c r="N699" s="51" t="n"/>
      <c r="P699" s="51" t="n"/>
      <c r="Q699" s="51" t="n"/>
    </row>
    <row r="700">
      <c r="B700" s="59" t="n"/>
      <c r="D700" s="51" t="n"/>
      <c r="I700" s="51" t="n"/>
      <c r="J700" s="51" t="n"/>
      <c r="K700" s="51" t="n"/>
      <c r="N700" s="51" t="n"/>
      <c r="P700" s="51" t="n"/>
      <c r="Q700" s="51" t="n"/>
    </row>
    <row r="701">
      <c r="B701" s="59" t="n"/>
      <c r="D701" s="51" t="n"/>
      <c r="I701" s="51" t="n"/>
      <c r="J701" s="51" t="n"/>
      <c r="K701" s="51" t="n"/>
      <c r="N701" s="51" t="n"/>
      <c r="P701" s="51" t="n"/>
      <c r="Q701" s="51" t="n"/>
    </row>
    <row r="702">
      <c r="B702" s="59" t="n"/>
      <c r="D702" s="51" t="n"/>
      <c r="I702" s="51" t="n"/>
      <c r="J702" s="51" t="n"/>
      <c r="K702" s="51" t="n"/>
      <c r="N702" s="51" t="n"/>
      <c r="P702" s="51" t="n"/>
      <c r="Q702" s="51" t="n"/>
    </row>
    <row r="703">
      <c r="B703" s="59" t="n"/>
      <c r="D703" s="51" t="n"/>
      <c r="I703" s="51" t="n"/>
      <c r="J703" s="51" t="n"/>
      <c r="K703" s="51" t="n"/>
      <c r="N703" s="51" t="n"/>
      <c r="P703" s="51" t="n"/>
      <c r="Q703" s="51" t="n"/>
    </row>
    <row r="704">
      <c r="B704" s="59" t="n"/>
      <c r="D704" s="51" t="n"/>
      <c r="I704" s="51" t="n"/>
      <c r="J704" s="51" t="n"/>
      <c r="K704" s="51" t="n"/>
      <c r="N704" s="51" t="n"/>
      <c r="P704" s="51" t="n"/>
      <c r="Q704" s="51" t="n"/>
    </row>
    <row r="705">
      <c r="B705" s="59" t="n"/>
      <c r="D705" s="51" t="n"/>
      <c r="I705" s="51" t="n"/>
      <c r="J705" s="51" t="n"/>
      <c r="K705" s="51" t="n"/>
      <c r="N705" s="51" t="n"/>
      <c r="P705" s="51" t="n"/>
      <c r="Q705" s="51" t="n"/>
    </row>
    <row r="706">
      <c r="B706" s="59" t="n"/>
      <c r="D706" s="51" t="n"/>
      <c r="I706" s="51" t="n"/>
      <c r="J706" s="51" t="n"/>
      <c r="K706" s="51" t="n"/>
      <c r="N706" s="51" t="n"/>
      <c r="P706" s="51" t="n"/>
      <c r="Q706" s="51" t="n"/>
    </row>
    <row r="707">
      <c r="B707" s="59" t="n"/>
      <c r="D707" s="51" t="n"/>
      <c r="I707" s="51" t="n"/>
      <c r="J707" s="51" t="n"/>
      <c r="K707" s="51" t="n"/>
      <c r="N707" s="51" t="n"/>
      <c r="P707" s="51" t="n"/>
      <c r="Q707" s="51" t="n"/>
    </row>
    <row r="708">
      <c r="B708" s="59" t="n"/>
      <c r="D708" s="51" t="n"/>
      <c r="I708" s="51" t="n"/>
      <c r="J708" s="51" t="n"/>
      <c r="K708" s="51" t="n"/>
      <c r="N708" s="51" t="n"/>
      <c r="P708" s="51" t="n"/>
      <c r="Q708" s="51" t="n"/>
    </row>
    <row r="709">
      <c r="B709" s="59" t="n"/>
      <c r="D709" s="51" t="n"/>
      <c r="I709" s="51" t="n"/>
      <c r="J709" s="51" t="n"/>
      <c r="K709" s="51" t="n"/>
      <c r="N709" s="51" t="n"/>
      <c r="P709" s="51" t="n"/>
      <c r="Q709" s="51" t="n"/>
    </row>
    <row r="710">
      <c r="B710" s="59" t="n"/>
      <c r="D710" s="51" t="n"/>
      <c r="I710" s="51" t="n"/>
      <c r="J710" s="51" t="n"/>
      <c r="K710" s="51" t="n"/>
      <c r="N710" s="51" t="n"/>
      <c r="P710" s="51" t="n"/>
      <c r="Q710" s="51" t="n"/>
    </row>
    <row r="711">
      <c r="B711" s="59" t="n"/>
      <c r="D711" s="51" t="n"/>
      <c r="I711" s="51" t="n"/>
      <c r="J711" s="51" t="n"/>
      <c r="K711" s="51" t="n"/>
      <c r="N711" s="51" t="n"/>
      <c r="P711" s="51" t="n"/>
      <c r="Q711" s="51" t="n"/>
    </row>
    <row r="712">
      <c r="B712" s="59" t="n"/>
      <c r="D712" s="51" t="n"/>
      <c r="I712" s="51" t="n"/>
      <c r="J712" s="51" t="n"/>
      <c r="K712" s="51" t="n"/>
      <c r="N712" s="51" t="n"/>
      <c r="P712" s="51" t="n"/>
      <c r="Q712" s="51" t="n"/>
    </row>
    <row r="713">
      <c r="B713" s="59" t="n"/>
      <c r="D713" s="51" t="n"/>
      <c r="I713" s="51" t="n"/>
      <c r="J713" s="51" t="n"/>
      <c r="K713" s="51" t="n"/>
      <c r="N713" s="51" t="n"/>
      <c r="P713" s="51" t="n"/>
      <c r="Q713" s="51" t="n"/>
    </row>
    <row r="714">
      <c r="B714" s="59" t="n"/>
      <c r="D714" s="51" t="n"/>
      <c r="I714" s="51" t="n"/>
      <c r="J714" s="51" t="n"/>
      <c r="K714" s="51" t="n"/>
      <c r="N714" s="51" t="n"/>
      <c r="P714" s="51" t="n"/>
      <c r="Q714" s="51" t="n"/>
    </row>
    <row r="715">
      <c r="B715" s="59" t="n"/>
      <c r="D715" s="51" t="n"/>
      <c r="I715" s="51" t="n"/>
      <c r="J715" s="51" t="n"/>
      <c r="K715" s="51" t="n"/>
      <c r="N715" s="51" t="n"/>
      <c r="P715" s="51" t="n"/>
      <c r="Q715" s="51" t="n"/>
    </row>
    <row r="716">
      <c r="B716" s="59" t="n"/>
      <c r="D716" s="51" t="n"/>
      <c r="I716" s="51" t="n"/>
      <c r="J716" s="51" t="n"/>
      <c r="K716" s="51" t="n"/>
      <c r="N716" s="51" t="n"/>
      <c r="P716" s="51" t="n"/>
      <c r="Q716" s="51" t="n"/>
    </row>
    <row r="717">
      <c r="B717" s="59" t="n"/>
      <c r="D717" s="51" t="n"/>
      <c r="I717" s="51" t="n"/>
      <c r="J717" s="51" t="n"/>
      <c r="K717" s="51" t="n"/>
      <c r="N717" s="51" t="n"/>
      <c r="P717" s="51" t="n"/>
      <c r="Q717" s="51" t="n"/>
    </row>
    <row r="718">
      <c r="B718" s="59" t="n"/>
      <c r="D718" s="51" t="n"/>
      <c r="I718" s="51" t="n"/>
      <c r="J718" s="51" t="n"/>
      <c r="K718" s="51" t="n"/>
      <c r="N718" s="51" t="n"/>
      <c r="P718" s="51" t="n"/>
      <c r="Q718" s="51" t="n"/>
    </row>
    <row r="719">
      <c r="B719" s="59" t="n"/>
      <c r="D719" s="51" t="n"/>
      <c r="I719" s="51" t="n"/>
      <c r="J719" s="51" t="n"/>
      <c r="K719" s="51" t="n"/>
      <c r="N719" s="51" t="n"/>
      <c r="P719" s="51" t="n"/>
      <c r="Q719" s="51" t="n"/>
    </row>
    <row r="720">
      <c r="B720" s="59" t="n"/>
      <c r="D720" s="51" t="n"/>
      <c r="I720" s="51" t="n"/>
      <c r="J720" s="51" t="n"/>
      <c r="K720" s="51" t="n"/>
      <c r="N720" s="51" t="n"/>
      <c r="P720" s="51" t="n"/>
      <c r="Q720" s="51" t="n"/>
    </row>
    <row r="721">
      <c r="B721" s="59" t="n"/>
      <c r="D721" s="51" t="n"/>
      <c r="I721" s="51" t="n"/>
      <c r="J721" s="51" t="n"/>
      <c r="K721" s="51" t="n"/>
      <c r="N721" s="51" t="n"/>
      <c r="P721" s="51" t="n"/>
      <c r="Q721" s="51" t="n"/>
    </row>
    <row r="722">
      <c r="B722" s="59" t="n"/>
      <c r="D722" s="51" t="n"/>
      <c r="I722" s="51" t="n"/>
      <c r="J722" s="51" t="n"/>
      <c r="K722" s="51" t="n"/>
      <c r="N722" s="51" t="n"/>
      <c r="P722" s="51" t="n"/>
      <c r="Q722" s="51" t="n"/>
    </row>
    <row r="723">
      <c r="B723" s="59" t="n"/>
      <c r="D723" s="51" t="n"/>
      <c r="I723" s="51" t="n"/>
      <c r="J723" s="51" t="n"/>
      <c r="K723" s="51" t="n"/>
      <c r="N723" s="51" t="n"/>
      <c r="P723" s="51" t="n"/>
      <c r="Q723" s="51" t="n"/>
    </row>
    <row r="724">
      <c r="B724" s="59" t="n"/>
      <c r="D724" s="51" t="n"/>
      <c r="I724" s="51" t="n"/>
      <c r="J724" s="51" t="n"/>
      <c r="K724" s="51" t="n"/>
      <c r="N724" s="51" t="n"/>
      <c r="P724" s="51" t="n"/>
      <c r="Q724" s="51" t="n"/>
    </row>
    <row r="725">
      <c r="B725" s="59" t="n"/>
      <c r="D725" s="51" t="n"/>
      <c r="I725" s="51" t="n"/>
      <c r="J725" s="51" t="n"/>
      <c r="K725" s="51" t="n"/>
      <c r="N725" s="51" t="n"/>
      <c r="P725" s="51" t="n"/>
      <c r="Q725" s="51" t="n"/>
    </row>
    <row r="726">
      <c r="B726" s="59" t="n"/>
      <c r="D726" s="51" t="n"/>
      <c r="I726" s="51" t="n"/>
      <c r="J726" s="51" t="n"/>
      <c r="K726" s="51" t="n"/>
      <c r="N726" s="51" t="n"/>
      <c r="P726" s="51" t="n"/>
      <c r="Q726" s="51" t="n"/>
    </row>
    <row r="727">
      <c r="B727" s="59" t="n"/>
      <c r="D727" s="51" t="n"/>
      <c r="I727" s="51" t="n"/>
      <c r="J727" s="51" t="n"/>
      <c r="K727" s="51" t="n"/>
      <c r="N727" s="51" t="n"/>
      <c r="P727" s="51" t="n"/>
      <c r="Q727" s="51" t="n"/>
    </row>
    <row r="728">
      <c r="B728" s="59" t="n"/>
      <c r="D728" s="51" t="n"/>
      <c r="I728" s="51" t="n"/>
      <c r="J728" s="51" t="n"/>
      <c r="K728" s="51" t="n"/>
      <c r="N728" s="51" t="n"/>
      <c r="P728" s="51" t="n"/>
      <c r="Q728" s="51" t="n"/>
    </row>
    <row r="729">
      <c r="B729" s="59" t="n"/>
      <c r="D729" s="51" t="n"/>
      <c r="I729" s="51" t="n"/>
      <c r="J729" s="51" t="n"/>
      <c r="K729" s="51" t="n"/>
      <c r="N729" s="51" t="n"/>
      <c r="P729" s="51" t="n"/>
      <c r="Q729" s="51" t="n"/>
    </row>
    <row r="730">
      <c r="B730" s="59" t="n"/>
      <c r="D730" s="51" t="n"/>
      <c r="I730" s="51" t="n"/>
      <c r="J730" s="51" t="n"/>
      <c r="K730" s="51" t="n"/>
      <c r="N730" s="51" t="n"/>
      <c r="P730" s="51" t="n"/>
      <c r="Q730" s="51" t="n"/>
    </row>
    <row r="731">
      <c r="B731" s="59" t="n"/>
      <c r="D731" s="51" t="n"/>
      <c r="I731" s="51" t="n"/>
      <c r="J731" s="51" t="n"/>
      <c r="K731" s="51" t="n"/>
      <c r="N731" s="51" t="n"/>
      <c r="P731" s="51" t="n"/>
      <c r="Q731" s="51" t="n"/>
    </row>
    <row r="732">
      <c r="B732" s="59" t="n"/>
      <c r="D732" s="51" t="n"/>
      <c r="I732" s="51" t="n"/>
      <c r="J732" s="51" t="n"/>
      <c r="K732" s="51" t="n"/>
      <c r="N732" s="51" t="n"/>
      <c r="P732" s="51" t="n"/>
      <c r="Q732" s="51" t="n"/>
    </row>
    <row r="733">
      <c r="B733" s="59" t="n"/>
      <c r="D733" s="51" t="n"/>
      <c r="I733" s="51" t="n"/>
      <c r="J733" s="51" t="n"/>
      <c r="K733" s="51" t="n"/>
      <c r="N733" s="51" t="n"/>
      <c r="P733" s="51" t="n"/>
      <c r="Q733" s="51" t="n"/>
    </row>
    <row r="734">
      <c r="B734" s="59" t="n"/>
      <c r="D734" s="51" t="n"/>
      <c r="I734" s="51" t="n"/>
      <c r="J734" s="51" t="n"/>
      <c r="K734" s="51" t="n"/>
      <c r="N734" s="51" t="n"/>
      <c r="P734" s="51" t="n"/>
      <c r="Q734" s="51" t="n"/>
    </row>
    <row r="735">
      <c r="B735" s="59" t="n"/>
      <c r="D735" s="51" t="n"/>
      <c r="I735" s="51" t="n"/>
      <c r="J735" s="51" t="n"/>
      <c r="K735" s="51" t="n"/>
      <c r="N735" s="51" t="n"/>
      <c r="P735" s="51" t="n"/>
      <c r="Q735" s="51" t="n"/>
    </row>
    <row r="736">
      <c r="B736" s="59" t="n"/>
      <c r="D736" s="51" t="n"/>
      <c r="I736" s="51" t="n"/>
      <c r="J736" s="51" t="n"/>
      <c r="K736" s="51" t="n"/>
      <c r="N736" s="51" t="n"/>
      <c r="P736" s="51" t="n"/>
      <c r="Q736" s="51" t="n"/>
    </row>
    <row r="737">
      <c r="B737" s="59" t="n"/>
      <c r="D737" s="51" t="n"/>
      <c r="I737" s="51" t="n"/>
      <c r="J737" s="51" t="n"/>
      <c r="K737" s="51" t="n"/>
      <c r="N737" s="51" t="n"/>
      <c r="P737" s="51" t="n"/>
      <c r="Q737" s="51" t="n"/>
    </row>
    <row r="738">
      <c r="B738" s="59" t="n"/>
      <c r="D738" s="51" t="n"/>
      <c r="I738" s="51" t="n"/>
      <c r="J738" s="51" t="n"/>
      <c r="K738" s="51" t="n"/>
      <c r="N738" s="51" t="n"/>
      <c r="P738" s="51" t="n"/>
      <c r="Q738" s="51" t="n"/>
    </row>
    <row r="739">
      <c r="B739" s="59" t="n"/>
      <c r="D739" s="51" t="n"/>
      <c r="I739" s="51" t="n"/>
      <c r="J739" s="51" t="n"/>
      <c r="K739" s="51" t="n"/>
      <c r="N739" s="51" t="n"/>
      <c r="P739" s="51" t="n"/>
      <c r="Q739" s="51" t="n"/>
    </row>
    <row r="740">
      <c r="B740" s="59" t="n"/>
      <c r="D740" s="51" t="n"/>
      <c r="I740" s="51" t="n"/>
      <c r="J740" s="51" t="n"/>
      <c r="K740" s="51" t="n"/>
      <c r="N740" s="51" t="n"/>
      <c r="P740" s="51" t="n"/>
      <c r="Q740" s="51" t="n"/>
    </row>
    <row r="741">
      <c r="B741" s="59" t="n"/>
      <c r="D741" s="51" t="n"/>
      <c r="I741" s="51" t="n"/>
      <c r="J741" s="51" t="n"/>
      <c r="K741" s="51" t="n"/>
      <c r="N741" s="51" t="n"/>
      <c r="P741" s="51" t="n"/>
      <c r="Q741" s="51" t="n"/>
    </row>
    <row r="742">
      <c r="B742" s="59" t="n"/>
      <c r="D742" s="51" t="n"/>
      <c r="I742" s="51" t="n"/>
      <c r="J742" s="51" t="n"/>
      <c r="K742" s="51" t="n"/>
      <c r="N742" s="51" t="n"/>
      <c r="P742" s="51" t="n"/>
      <c r="Q742" s="51" t="n"/>
    </row>
    <row r="743">
      <c r="B743" s="59" t="n"/>
      <c r="D743" s="51" t="n"/>
      <c r="I743" s="51" t="n"/>
      <c r="J743" s="51" t="n"/>
      <c r="K743" s="51" t="n"/>
      <c r="N743" s="51" t="n"/>
      <c r="P743" s="51" t="n"/>
      <c r="Q743" s="51" t="n"/>
    </row>
    <row r="744">
      <c r="B744" s="59" t="n"/>
      <c r="D744" s="51" t="n"/>
      <c r="I744" s="51" t="n"/>
      <c r="J744" s="51" t="n"/>
      <c r="K744" s="51" t="n"/>
      <c r="N744" s="51" t="n"/>
      <c r="P744" s="51" t="n"/>
      <c r="Q744" s="51" t="n"/>
    </row>
    <row r="745">
      <c r="B745" s="59" t="n"/>
      <c r="D745" s="51" t="n"/>
      <c r="I745" s="51" t="n"/>
      <c r="J745" s="51" t="n"/>
      <c r="K745" s="51" t="n"/>
      <c r="N745" s="51" t="n"/>
      <c r="P745" s="51" t="n"/>
      <c r="Q745" s="51" t="n"/>
    </row>
    <row r="746">
      <c r="B746" s="59" t="n"/>
      <c r="D746" s="51" t="n"/>
      <c r="I746" s="51" t="n"/>
      <c r="J746" s="51" t="n"/>
      <c r="K746" s="51" t="n"/>
      <c r="N746" s="51" t="n"/>
      <c r="P746" s="51" t="n"/>
      <c r="Q746" s="51" t="n"/>
    </row>
    <row r="747">
      <c r="B747" s="59" t="n"/>
      <c r="D747" s="51" t="n"/>
      <c r="I747" s="51" t="n"/>
      <c r="J747" s="51" t="n"/>
      <c r="K747" s="51" t="n"/>
      <c r="N747" s="51" t="n"/>
      <c r="P747" s="51" t="n"/>
      <c r="Q747" s="51" t="n"/>
    </row>
    <row r="748">
      <c r="B748" s="59" t="n"/>
      <c r="D748" s="51" t="n"/>
      <c r="I748" s="51" t="n"/>
      <c r="J748" s="51" t="n"/>
      <c r="K748" s="51" t="n"/>
      <c r="N748" s="51" t="n"/>
      <c r="P748" s="51" t="n"/>
      <c r="Q748" s="51" t="n"/>
    </row>
    <row r="749">
      <c r="B749" s="59" t="n"/>
      <c r="D749" s="51" t="n"/>
      <c r="I749" s="51" t="n"/>
      <c r="J749" s="51" t="n"/>
      <c r="K749" s="51" t="n"/>
      <c r="N749" s="51" t="n"/>
      <c r="P749" s="51" t="n"/>
      <c r="Q749" s="51" t="n"/>
    </row>
    <row r="750">
      <c r="B750" s="59" t="n"/>
      <c r="D750" s="51" t="n"/>
      <c r="I750" s="51" t="n"/>
      <c r="J750" s="51" t="n"/>
      <c r="K750" s="51" t="n"/>
      <c r="N750" s="51" t="n"/>
      <c r="P750" s="51" t="n"/>
      <c r="Q750" s="51" t="n"/>
    </row>
    <row r="751">
      <c r="B751" s="59" t="n"/>
      <c r="D751" s="51" t="n"/>
      <c r="I751" s="51" t="n"/>
      <c r="J751" s="51" t="n"/>
      <c r="K751" s="51" t="n"/>
      <c r="N751" s="51" t="n"/>
      <c r="P751" s="51" t="n"/>
      <c r="Q751" s="51" t="n"/>
    </row>
    <row r="752">
      <c r="B752" s="59" t="n"/>
      <c r="D752" s="51" t="n"/>
      <c r="I752" s="51" t="n"/>
      <c r="J752" s="51" t="n"/>
      <c r="K752" s="51" t="n"/>
      <c r="N752" s="51" t="n"/>
      <c r="P752" s="51" t="n"/>
      <c r="Q752" s="51" t="n"/>
    </row>
    <row r="753">
      <c r="B753" s="59" t="n"/>
      <c r="D753" s="51" t="n"/>
      <c r="I753" s="51" t="n"/>
      <c r="J753" s="51" t="n"/>
      <c r="K753" s="51" t="n"/>
      <c r="N753" s="51" t="n"/>
      <c r="P753" s="51" t="n"/>
      <c r="Q753" s="51" t="n"/>
    </row>
    <row r="754">
      <c r="B754" s="59" t="n"/>
      <c r="D754" s="51" t="n"/>
      <c r="I754" s="51" t="n"/>
      <c r="J754" s="51" t="n"/>
      <c r="K754" s="51" t="n"/>
      <c r="N754" s="51" t="n"/>
      <c r="P754" s="51" t="n"/>
      <c r="Q754" s="51" t="n"/>
    </row>
    <row r="755">
      <c r="B755" s="59" t="n"/>
      <c r="D755" s="51" t="n"/>
      <c r="I755" s="51" t="n"/>
      <c r="J755" s="51" t="n"/>
      <c r="K755" s="51" t="n"/>
      <c r="N755" s="51" t="n"/>
      <c r="P755" s="51" t="n"/>
      <c r="Q755" s="51" t="n"/>
    </row>
    <row r="756">
      <c r="B756" s="59" t="n"/>
      <c r="D756" s="51" t="n"/>
      <c r="I756" s="51" t="n"/>
      <c r="J756" s="51" t="n"/>
      <c r="K756" s="51" t="n"/>
      <c r="N756" s="51" t="n"/>
      <c r="P756" s="51" t="n"/>
      <c r="Q756" s="51" t="n"/>
    </row>
    <row r="757">
      <c r="B757" s="59" t="n"/>
      <c r="D757" s="51" t="n"/>
      <c r="I757" s="51" t="n"/>
      <c r="J757" s="51" t="n"/>
      <c r="K757" s="51" t="n"/>
      <c r="N757" s="51" t="n"/>
      <c r="P757" s="51" t="n"/>
      <c r="Q757" s="51" t="n"/>
    </row>
    <row r="758">
      <c r="B758" s="59" t="n"/>
      <c r="D758" s="51" t="n"/>
      <c r="I758" s="51" t="n"/>
      <c r="J758" s="51" t="n"/>
      <c r="K758" s="51" t="n"/>
      <c r="N758" s="51" t="n"/>
      <c r="P758" s="51" t="n"/>
      <c r="Q758" s="51" t="n"/>
    </row>
    <row r="759">
      <c r="B759" s="59" t="n"/>
      <c r="D759" s="51" t="n"/>
      <c r="I759" s="51" t="n"/>
      <c r="J759" s="51" t="n"/>
      <c r="K759" s="51" t="n"/>
      <c r="N759" s="51" t="n"/>
      <c r="P759" s="51" t="n"/>
      <c r="Q759" s="51" t="n"/>
    </row>
    <row r="760">
      <c r="B760" s="59" t="n"/>
      <c r="D760" s="51" t="n"/>
      <c r="I760" s="51" t="n"/>
      <c r="J760" s="51" t="n"/>
      <c r="K760" s="51" t="n"/>
      <c r="N760" s="51" t="n"/>
      <c r="P760" s="51" t="n"/>
      <c r="Q760" s="51" t="n"/>
    </row>
    <row r="761">
      <c r="B761" s="59" t="n"/>
      <c r="D761" s="51" t="n"/>
      <c r="I761" s="51" t="n"/>
      <c r="J761" s="51" t="n"/>
      <c r="K761" s="51" t="n"/>
      <c r="N761" s="51" t="n"/>
      <c r="P761" s="51" t="n"/>
      <c r="Q761" s="51" t="n"/>
    </row>
    <row r="762">
      <c r="B762" s="59" t="n"/>
      <c r="D762" s="51" t="n"/>
      <c r="I762" s="51" t="n"/>
      <c r="J762" s="51" t="n"/>
      <c r="K762" s="51" t="n"/>
      <c r="N762" s="51" t="n"/>
      <c r="P762" s="51" t="n"/>
      <c r="Q762" s="51" t="n"/>
    </row>
    <row r="763">
      <c r="B763" s="59" t="n"/>
      <c r="D763" s="51" t="n"/>
      <c r="I763" s="51" t="n"/>
      <c r="J763" s="51" t="n"/>
      <c r="K763" s="51" t="n"/>
      <c r="N763" s="51" t="n"/>
      <c r="P763" s="51" t="n"/>
      <c r="Q763" s="51" t="n"/>
    </row>
    <row r="764">
      <c r="B764" s="59" t="n"/>
      <c r="D764" s="51" t="n"/>
      <c r="I764" s="51" t="n"/>
      <c r="J764" s="51" t="n"/>
      <c r="K764" s="51" t="n"/>
      <c r="N764" s="51" t="n"/>
      <c r="P764" s="51" t="n"/>
      <c r="Q764" s="51" t="n"/>
    </row>
    <row r="765">
      <c r="B765" s="59" t="n"/>
      <c r="D765" s="51" t="n"/>
      <c r="I765" s="51" t="n"/>
      <c r="J765" s="51" t="n"/>
      <c r="K765" s="51" t="n"/>
      <c r="N765" s="51" t="n"/>
      <c r="P765" s="51" t="n"/>
      <c r="Q765" s="51" t="n"/>
    </row>
    <row r="766">
      <c r="B766" s="59" t="n"/>
      <c r="D766" s="51" t="n"/>
      <c r="I766" s="51" t="n"/>
      <c r="J766" s="51" t="n"/>
      <c r="K766" s="51" t="n"/>
      <c r="N766" s="51" t="n"/>
      <c r="P766" s="51" t="n"/>
      <c r="Q766" s="51" t="n"/>
    </row>
    <row r="767">
      <c r="B767" s="59" t="n"/>
      <c r="D767" s="51" t="n"/>
      <c r="I767" s="51" t="n"/>
      <c r="J767" s="51" t="n"/>
      <c r="K767" s="51" t="n"/>
      <c r="N767" s="51" t="n"/>
      <c r="P767" s="51" t="n"/>
      <c r="Q767" s="51" t="n"/>
    </row>
    <row r="768">
      <c r="B768" s="59" t="n"/>
      <c r="D768" s="51" t="n"/>
      <c r="I768" s="51" t="n"/>
      <c r="J768" s="51" t="n"/>
      <c r="K768" s="51" t="n"/>
      <c r="N768" s="51" t="n"/>
      <c r="P768" s="51" t="n"/>
      <c r="Q768" s="51" t="n"/>
    </row>
    <row r="769">
      <c r="B769" s="59" t="n"/>
      <c r="D769" s="51" t="n"/>
      <c r="I769" s="51" t="n"/>
      <c r="J769" s="51" t="n"/>
      <c r="K769" s="51" t="n"/>
      <c r="N769" s="51" t="n"/>
      <c r="P769" s="51" t="n"/>
      <c r="Q769" s="51" t="n"/>
    </row>
    <row r="770">
      <c r="B770" s="59" t="n"/>
      <c r="D770" s="51" t="n"/>
      <c r="I770" s="51" t="n"/>
      <c r="J770" s="51" t="n"/>
      <c r="K770" s="51" t="n"/>
      <c r="N770" s="51" t="n"/>
      <c r="P770" s="51" t="n"/>
      <c r="Q770" s="51" t="n"/>
    </row>
    <row r="771">
      <c r="B771" s="59" t="n"/>
      <c r="D771" s="51" t="n"/>
      <c r="I771" s="51" t="n"/>
      <c r="J771" s="51" t="n"/>
      <c r="K771" s="51" t="n"/>
      <c r="N771" s="51" t="n"/>
      <c r="P771" s="51" t="n"/>
      <c r="Q771" s="51" t="n"/>
    </row>
    <row r="772">
      <c r="B772" s="59" t="n"/>
      <c r="D772" s="51" t="n"/>
      <c r="I772" s="51" t="n"/>
      <c r="J772" s="51" t="n"/>
      <c r="K772" s="51" t="n"/>
      <c r="N772" s="51" t="n"/>
      <c r="P772" s="51" t="n"/>
      <c r="Q772" s="51" t="n"/>
    </row>
    <row r="773">
      <c r="B773" s="59" t="n"/>
      <c r="D773" s="51" t="n"/>
      <c r="I773" s="51" t="n"/>
      <c r="J773" s="51" t="n"/>
      <c r="K773" s="51" t="n"/>
      <c r="N773" s="51" t="n"/>
      <c r="P773" s="51" t="n"/>
      <c r="Q773" s="51" t="n"/>
    </row>
    <row r="774">
      <c r="B774" s="59" t="n"/>
      <c r="D774" s="51" t="n"/>
      <c r="I774" s="51" t="n"/>
      <c r="J774" s="51" t="n"/>
      <c r="K774" s="51" t="n"/>
      <c r="N774" s="51" t="n"/>
      <c r="P774" s="51" t="n"/>
      <c r="Q774" s="51" t="n"/>
    </row>
    <row r="775">
      <c r="B775" s="59" t="n"/>
      <c r="D775" s="51" t="n"/>
      <c r="I775" s="51" t="n"/>
      <c r="J775" s="51" t="n"/>
      <c r="K775" s="51" t="n"/>
      <c r="N775" s="51" t="n"/>
      <c r="P775" s="51" t="n"/>
      <c r="Q775" s="51" t="n"/>
    </row>
    <row r="776">
      <c r="B776" s="59" t="n"/>
      <c r="D776" s="51" t="n"/>
      <c r="I776" s="51" t="n"/>
      <c r="J776" s="51" t="n"/>
      <c r="K776" s="51" t="n"/>
      <c r="N776" s="51" t="n"/>
      <c r="P776" s="51" t="n"/>
      <c r="Q776" s="51" t="n"/>
    </row>
    <row r="777">
      <c r="B777" s="59" t="n"/>
      <c r="D777" s="51" t="n"/>
      <c r="I777" s="51" t="n"/>
      <c r="J777" s="51" t="n"/>
      <c r="K777" s="51" t="n"/>
      <c r="N777" s="51" t="n"/>
      <c r="P777" s="51" t="n"/>
      <c r="Q777" s="51" t="n"/>
    </row>
    <row r="778">
      <c r="B778" s="59" t="n"/>
      <c r="D778" s="51" t="n"/>
      <c r="I778" s="51" t="n"/>
      <c r="J778" s="51" t="n"/>
      <c r="K778" s="51" t="n"/>
      <c r="N778" s="51" t="n"/>
      <c r="P778" s="51" t="n"/>
      <c r="Q778" s="51" t="n"/>
    </row>
    <row r="779">
      <c r="B779" s="59" t="n"/>
      <c r="D779" s="51" t="n"/>
      <c r="I779" s="51" t="n"/>
      <c r="J779" s="51" t="n"/>
      <c r="K779" s="51" t="n"/>
      <c r="N779" s="51" t="n"/>
      <c r="P779" s="51" t="n"/>
      <c r="Q779" s="51" t="n"/>
    </row>
    <row r="780">
      <c r="B780" s="59" t="n"/>
      <c r="D780" s="51" t="n"/>
      <c r="I780" s="51" t="n"/>
      <c r="J780" s="51" t="n"/>
      <c r="K780" s="51" t="n"/>
      <c r="N780" s="51" t="n"/>
      <c r="P780" s="51" t="n"/>
      <c r="Q780" s="51" t="n"/>
    </row>
    <row r="781">
      <c r="B781" s="59" t="n"/>
      <c r="D781" s="51" t="n"/>
      <c r="I781" s="51" t="n"/>
      <c r="J781" s="51" t="n"/>
      <c r="K781" s="51" t="n"/>
      <c r="N781" s="51" t="n"/>
      <c r="P781" s="51" t="n"/>
      <c r="Q781" s="51" t="n"/>
    </row>
    <row r="782">
      <c r="B782" s="59" t="n"/>
      <c r="D782" s="51" t="n"/>
      <c r="I782" s="51" t="n"/>
      <c r="J782" s="51" t="n"/>
      <c r="K782" s="51" t="n"/>
      <c r="N782" s="51" t="n"/>
      <c r="P782" s="51" t="n"/>
      <c r="Q782" s="51" t="n"/>
    </row>
    <row r="783">
      <c r="B783" s="59" t="n"/>
      <c r="D783" s="51" t="n"/>
      <c r="I783" s="51" t="n"/>
      <c r="J783" s="51" t="n"/>
      <c r="K783" s="51" t="n"/>
      <c r="N783" s="51" t="n"/>
      <c r="P783" s="51" t="n"/>
      <c r="Q783" s="51" t="n"/>
    </row>
    <row r="784">
      <c r="B784" s="59" t="n"/>
      <c r="D784" s="51" t="n"/>
      <c r="I784" s="51" t="n"/>
      <c r="J784" s="51" t="n"/>
      <c r="K784" s="51" t="n"/>
      <c r="N784" s="51" t="n"/>
      <c r="P784" s="51" t="n"/>
      <c r="Q784" s="51" t="n"/>
    </row>
    <row r="785">
      <c r="B785" s="59" t="n"/>
      <c r="D785" s="51" t="n"/>
      <c r="I785" s="51" t="n"/>
      <c r="J785" s="51" t="n"/>
      <c r="K785" s="51" t="n"/>
      <c r="N785" s="51" t="n"/>
      <c r="P785" s="51" t="n"/>
      <c r="Q785" s="51" t="n"/>
    </row>
    <row r="786">
      <c r="B786" s="59" t="n"/>
      <c r="D786" s="51" t="n"/>
      <c r="I786" s="51" t="n"/>
      <c r="J786" s="51" t="n"/>
      <c r="K786" s="51" t="n"/>
      <c r="N786" s="51" t="n"/>
      <c r="P786" s="51" t="n"/>
      <c r="Q786" s="51" t="n"/>
    </row>
    <row r="787">
      <c r="B787" s="59" t="n"/>
      <c r="D787" s="51" t="n"/>
      <c r="I787" s="51" t="n"/>
      <c r="J787" s="51" t="n"/>
      <c r="K787" s="51" t="n"/>
      <c r="N787" s="51" t="n"/>
      <c r="P787" s="51" t="n"/>
      <c r="Q787" s="51" t="n"/>
    </row>
    <row r="788">
      <c r="B788" s="59" t="n"/>
      <c r="D788" s="51" t="n"/>
      <c r="I788" s="51" t="n"/>
      <c r="J788" s="51" t="n"/>
      <c r="K788" s="51" t="n"/>
      <c r="N788" s="51" t="n"/>
      <c r="P788" s="51" t="n"/>
      <c r="Q788" s="51" t="n"/>
    </row>
    <row r="789">
      <c r="B789" s="59" t="n"/>
      <c r="D789" s="51" t="n"/>
      <c r="I789" s="51" t="n"/>
      <c r="J789" s="51" t="n"/>
      <c r="K789" s="51" t="n"/>
      <c r="N789" s="51" t="n"/>
      <c r="P789" s="51" t="n"/>
      <c r="Q789" s="51" t="n"/>
    </row>
    <row r="790">
      <c r="B790" s="59" t="n"/>
      <c r="D790" s="51" t="n"/>
      <c r="I790" s="51" t="n"/>
      <c r="J790" s="51" t="n"/>
      <c r="K790" s="51" t="n"/>
      <c r="N790" s="51" t="n"/>
      <c r="P790" s="51" t="n"/>
      <c r="Q790" s="51" t="n"/>
    </row>
    <row r="791">
      <c r="B791" s="59" t="n"/>
      <c r="D791" s="51" t="n"/>
      <c r="I791" s="51" t="n"/>
      <c r="J791" s="51" t="n"/>
      <c r="K791" s="51" t="n"/>
      <c r="N791" s="51" t="n"/>
      <c r="P791" s="51" t="n"/>
      <c r="Q791" s="51" t="n"/>
    </row>
    <row r="792">
      <c r="B792" s="59" t="n"/>
      <c r="D792" s="51" t="n"/>
      <c r="I792" s="51" t="n"/>
      <c r="J792" s="51" t="n"/>
      <c r="K792" s="51" t="n"/>
      <c r="N792" s="51" t="n"/>
      <c r="P792" s="51" t="n"/>
      <c r="Q792" s="51" t="n"/>
    </row>
    <row r="793">
      <c r="B793" s="59" t="n"/>
      <c r="D793" s="51" t="n"/>
      <c r="I793" s="51" t="n"/>
      <c r="J793" s="51" t="n"/>
      <c r="K793" s="51" t="n"/>
      <c r="N793" s="51" t="n"/>
      <c r="P793" s="51" t="n"/>
      <c r="Q793" s="51" t="n"/>
    </row>
    <row r="794">
      <c r="B794" s="59" t="n"/>
      <c r="D794" s="51" t="n"/>
      <c r="I794" s="51" t="n"/>
      <c r="J794" s="51" t="n"/>
      <c r="K794" s="51" t="n"/>
      <c r="N794" s="51" t="n"/>
      <c r="P794" s="51" t="n"/>
      <c r="Q794" s="51" t="n"/>
    </row>
    <row r="795">
      <c r="B795" s="59" t="n"/>
      <c r="D795" s="51" t="n"/>
      <c r="I795" s="51" t="n"/>
      <c r="J795" s="51" t="n"/>
      <c r="K795" s="51" t="n"/>
      <c r="N795" s="51" t="n"/>
      <c r="P795" s="51" t="n"/>
      <c r="Q795" s="51" t="n"/>
    </row>
    <row r="796">
      <c r="B796" s="59" t="n"/>
      <c r="D796" s="51" t="n"/>
      <c r="I796" s="51" t="n"/>
      <c r="J796" s="51" t="n"/>
      <c r="K796" s="51" t="n"/>
      <c r="N796" s="51" t="n"/>
      <c r="P796" s="51" t="n"/>
      <c r="Q796" s="51" t="n"/>
    </row>
    <row r="797">
      <c r="B797" s="59" t="n"/>
      <c r="D797" s="51" t="n"/>
      <c r="I797" s="51" t="n"/>
      <c r="J797" s="51" t="n"/>
      <c r="K797" s="51" t="n"/>
      <c r="N797" s="51" t="n"/>
      <c r="P797" s="51" t="n"/>
      <c r="Q797" s="51" t="n"/>
    </row>
    <row r="798">
      <c r="B798" s="59" t="n"/>
      <c r="D798" s="51" t="n"/>
      <c r="I798" s="51" t="n"/>
      <c r="J798" s="51" t="n"/>
      <c r="K798" s="51" t="n"/>
      <c r="N798" s="51" t="n"/>
      <c r="P798" s="51" t="n"/>
      <c r="Q798" s="51" t="n"/>
    </row>
    <row r="799">
      <c r="B799" s="59" t="n"/>
      <c r="D799" s="51" t="n"/>
      <c r="I799" s="51" t="n"/>
      <c r="J799" s="51" t="n"/>
      <c r="K799" s="51" t="n"/>
      <c r="N799" s="51" t="n"/>
      <c r="P799" s="51" t="n"/>
      <c r="Q799" s="51" t="n"/>
    </row>
    <row r="800">
      <c r="B800" s="59" t="n"/>
      <c r="D800" s="51" t="n"/>
      <c r="I800" s="51" t="n"/>
      <c r="J800" s="51" t="n"/>
      <c r="K800" s="51" t="n"/>
      <c r="N800" s="51" t="n"/>
      <c r="P800" s="51" t="n"/>
      <c r="Q800" s="51" t="n"/>
    </row>
    <row r="801">
      <c r="B801" s="59" t="n"/>
      <c r="D801" s="51" t="n"/>
      <c r="I801" s="51" t="n"/>
      <c r="J801" s="51" t="n"/>
      <c r="K801" s="51" t="n"/>
      <c r="N801" s="51" t="n"/>
      <c r="P801" s="51" t="n"/>
      <c r="Q801" s="51" t="n"/>
    </row>
    <row r="802">
      <c r="B802" s="59" t="n"/>
      <c r="D802" s="51" t="n"/>
      <c r="I802" s="51" t="n"/>
      <c r="J802" s="51" t="n"/>
      <c r="K802" s="51" t="n"/>
      <c r="N802" s="51" t="n"/>
      <c r="P802" s="51" t="n"/>
      <c r="Q802" s="51" t="n"/>
    </row>
    <row r="803">
      <c r="B803" s="59" t="n"/>
      <c r="D803" s="51" t="n"/>
      <c r="I803" s="51" t="n"/>
      <c r="J803" s="51" t="n"/>
      <c r="K803" s="51" t="n"/>
      <c r="N803" s="51" t="n"/>
      <c r="P803" s="51" t="n"/>
      <c r="Q803" s="51" t="n"/>
    </row>
    <row r="804">
      <c r="B804" s="59" t="n"/>
      <c r="D804" s="51" t="n"/>
      <c r="I804" s="51" t="n"/>
      <c r="J804" s="51" t="n"/>
      <c r="K804" s="51" t="n"/>
      <c r="N804" s="51" t="n"/>
      <c r="P804" s="51" t="n"/>
      <c r="Q804" s="51" t="n"/>
    </row>
    <row r="805">
      <c r="B805" s="59" t="n"/>
      <c r="D805" s="51" t="n"/>
      <c r="I805" s="51" t="n"/>
      <c r="J805" s="51" t="n"/>
      <c r="K805" s="51" t="n"/>
      <c r="N805" s="51" t="n"/>
      <c r="P805" s="51" t="n"/>
      <c r="Q805" s="51" t="n"/>
    </row>
    <row r="806">
      <c r="B806" s="59" t="n"/>
      <c r="D806" s="51" t="n"/>
      <c r="I806" s="51" t="n"/>
      <c r="J806" s="51" t="n"/>
      <c r="K806" s="51" t="n"/>
      <c r="N806" s="51" t="n"/>
      <c r="P806" s="51" t="n"/>
      <c r="Q806" s="51" t="n"/>
    </row>
    <row r="807">
      <c r="B807" s="59" t="n"/>
      <c r="D807" s="51" t="n"/>
      <c r="I807" s="51" t="n"/>
      <c r="J807" s="51" t="n"/>
      <c r="K807" s="51" t="n"/>
      <c r="N807" s="51" t="n"/>
      <c r="P807" s="51" t="n"/>
      <c r="Q807" s="51" t="n"/>
    </row>
    <row r="808">
      <c r="B808" s="59" t="n"/>
      <c r="D808" s="51" t="n"/>
      <c r="I808" s="51" t="n"/>
      <c r="J808" s="51" t="n"/>
      <c r="K808" s="51" t="n"/>
      <c r="N808" s="51" t="n"/>
      <c r="P808" s="51" t="n"/>
      <c r="Q808" s="51" t="n"/>
    </row>
    <row r="809">
      <c r="B809" s="59" t="n"/>
      <c r="D809" s="51" t="n"/>
      <c r="I809" s="51" t="n"/>
      <c r="J809" s="51" t="n"/>
      <c r="K809" s="51" t="n"/>
      <c r="N809" s="51" t="n"/>
      <c r="P809" s="51" t="n"/>
      <c r="Q809" s="51" t="n"/>
    </row>
    <row r="810">
      <c r="B810" s="59" t="n"/>
      <c r="D810" s="51" t="n"/>
      <c r="I810" s="51" t="n"/>
      <c r="J810" s="51" t="n"/>
      <c r="K810" s="51" t="n"/>
      <c r="N810" s="51" t="n"/>
      <c r="P810" s="51" t="n"/>
      <c r="Q810" s="51" t="n"/>
    </row>
    <row r="811">
      <c r="B811" s="59" t="n"/>
      <c r="D811" s="51" t="n"/>
      <c r="I811" s="51" t="n"/>
      <c r="J811" s="51" t="n"/>
      <c r="K811" s="51" t="n"/>
      <c r="N811" s="51" t="n"/>
      <c r="P811" s="51" t="n"/>
      <c r="Q811" s="51" t="n"/>
    </row>
    <row r="812">
      <c r="B812" s="59" t="n"/>
      <c r="D812" s="51" t="n"/>
      <c r="I812" s="51" t="n"/>
      <c r="J812" s="51" t="n"/>
      <c r="K812" s="51" t="n"/>
      <c r="N812" s="51" t="n"/>
      <c r="P812" s="51" t="n"/>
      <c r="Q812" s="51" t="n"/>
    </row>
    <row r="813">
      <c r="B813" s="59" t="n"/>
      <c r="D813" s="51" t="n"/>
      <c r="I813" s="51" t="n"/>
      <c r="J813" s="51" t="n"/>
      <c r="K813" s="51" t="n"/>
      <c r="N813" s="51" t="n"/>
      <c r="P813" s="51" t="n"/>
      <c r="Q813" s="51" t="n"/>
    </row>
    <row r="814">
      <c r="B814" s="59" t="n"/>
      <c r="D814" s="51" t="n"/>
      <c r="I814" s="51" t="n"/>
      <c r="J814" s="51" t="n"/>
      <c r="K814" s="51" t="n"/>
      <c r="N814" s="51" t="n"/>
      <c r="P814" s="51" t="n"/>
      <c r="Q814" s="51" t="n"/>
    </row>
    <row r="815">
      <c r="B815" s="59" t="n"/>
      <c r="D815" s="51" t="n"/>
      <c r="I815" s="51" t="n"/>
      <c r="J815" s="51" t="n"/>
      <c r="K815" s="51" t="n"/>
      <c r="N815" s="51" t="n"/>
      <c r="P815" s="51" t="n"/>
      <c r="Q815" s="51" t="n"/>
    </row>
    <row r="816">
      <c r="B816" s="59" t="n"/>
      <c r="D816" s="51" t="n"/>
      <c r="I816" s="51" t="n"/>
      <c r="J816" s="51" t="n"/>
      <c r="K816" s="51" t="n"/>
      <c r="N816" s="51" t="n"/>
      <c r="P816" s="51" t="n"/>
      <c r="Q816" s="51" t="n"/>
    </row>
    <row r="817">
      <c r="B817" s="59" t="n"/>
      <c r="D817" s="51" t="n"/>
      <c r="I817" s="51" t="n"/>
      <c r="J817" s="51" t="n"/>
      <c r="K817" s="51" t="n"/>
      <c r="N817" s="51" t="n"/>
      <c r="P817" s="51" t="n"/>
      <c r="Q817" s="51" t="n"/>
    </row>
    <row r="818">
      <c r="B818" s="59" t="n"/>
      <c r="D818" s="51" t="n"/>
      <c r="I818" s="51" t="n"/>
      <c r="J818" s="51" t="n"/>
      <c r="K818" s="51" t="n"/>
      <c r="N818" s="51" t="n"/>
      <c r="P818" s="51" t="n"/>
      <c r="Q818" s="51" t="n"/>
    </row>
    <row r="819">
      <c r="B819" s="59" t="n"/>
      <c r="D819" s="51" t="n"/>
      <c r="I819" s="51" t="n"/>
      <c r="J819" s="51" t="n"/>
      <c r="K819" s="51" t="n"/>
      <c r="N819" s="51" t="n"/>
      <c r="P819" s="51" t="n"/>
      <c r="Q819" s="51" t="n"/>
    </row>
    <row r="820">
      <c r="B820" s="59" t="n"/>
      <c r="D820" s="51" t="n"/>
      <c r="I820" s="51" t="n"/>
      <c r="J820" s="51" t="n"/>
      <c r="K820" s="51" t="n"/>
      <c r="N820" s="51" t="n"/>
      <c r="P820" s="51" t="n"/>
      <c r="Q820" s="51" t="n"/>
    </row>
    <row r="821">
      <c r="B821" s="59" t="n"/>
      <c r="D821" s="51" t="n"/>
      <c r="I821" s="51" t="n"/>
      <c r="J821" s="51" t="n"/>
      <c r="K821" s="51" t="n"/>
      <c r="N821" s="51" t="n"/>
      <c r="P821" s="51" t="n"/>
      <c r="Q821" s="51" t="n"/>
    </row>
    <row r="822">
      <c r="B822" s="59" t="n"/>
      <c r="D822" s="51" t="n"/>
      <c r="I822" s="51" t="n"/>
      <c r="J822" s="51" t="n"/>
      <c r="K822" s="51" t="n"/>
      <c r="N822" s="51" t="n"/>
      <c r="P822" s="51" t="n"/>
      <c r="Q822" s="51" t="n"/>
    </row>
    <row r="823">
      <c r="B823" s="59" t="n"/>
      <c r="D823" s="51" t="n"/>
      <c r="I823" s="51" t="n"/>
      <c r="J823" s="51" t="n"/>
      <c r="K823" s="51" t="n"/>
      <c r="N823" s="51" t="n"/>
      <c r="P823" s="51" t="n"/>
      <c r="Q823" s="51" t="n"/>
    </row>
    <row r="824">
      <c r="B824" s="59" t="n"/>
      <c r="D824" s="51" t="n"/>
      <c r="I824" s="51" t="n"/>
      <c r="J824" s="51" t="n"/>
      <c r="K824" s="51" t="n"/>
      <c r="N824" s="51" t="n"/>
      <c r="P824" s="51" t="n"/>
      <c r="Q824" s="51" t="n"/>
    </row>
    <row r="825">
      <c r="B825" s="59" t="n"/>
      <c r="D825" s="51" t="n"/>
      <c r="I825" s="51" t="n"/>
      <c r="J825" s="51" t="n"/>
      <c r="K825" s="51" t="n"/>
      <c r="N825" s="51" t="n"/>
      <c r="P825" s="51" t="n"/>
      <c r="Q825" s="51" t="n"/>
    </row>
    <row r="826">
      <c r="B826" s="59" t="n"/>
      <c r="D826" s="51" t="n"/>
      <c r="I826" s="51" t="n"/>
      <c r="J826" s="51" t="n"/>
      <c r="K826" s="51" t="n"/>
      <c r="N826" s="51" t="n"/>
      <c r="P826" s="51" t="n"/>
      <c r="Q826" s="51" t="n"/>
    </row>
    <row r="827">
      <c r="B827" s="59" t="n"/>
      <c r="D827" s="51" t="n"/>
      <c r="I827" s="51" t="n"/>
      <c r="J827" s="51" t="n"/>
      <c r="K827" s="51" t="n"/>
      <c r="N827" s="51" t="n"/>
      <c r="P827" s="51" t="n"/>
      <c r="Q827" s="51" t="n"/>
    </row>
    <row r="828">
      <c r="B828" s="59" t="n"/>
      <c r="D828" s="51" t="n"/>
      <c r="I828" s="51" t="n"/>
      <c r="J828" s="51" t="n"/>
      <c r="K828" s="51" t="n"/>
      <c r="N828" s="51" t="n"/>
      <c r="P828" s="51" t="n"/>
      <c r="Q828" s="51" t="n"/>
    </row>
    <row r="829">
      <c r="B829" s="59" t="n"/>
      <c r="D829" s="51" t="n"/>
      <c r="I829" s="51" t="n"/>
      <c r="J829" s="51" t="n"/>
      <c r="K829" s="51" t="n"/>
      <c r="N829" s="51" t="n"/>
      <c r="P829" s="51" t="n"/>
      <c r="Q829" s="51" t="n"/>
    </row>
    <row r="830">
      <c r="B830" s="59" t="n"/>
      <c r="D830" s="51" t="n"/>
      <c r="I830" s="51" t="n"/>
      <c r="J830" s="51" t="n"/>
      <c r="K830" s="51" t="n"/>
      <c r="N830" s="51" t="n"/>
      <c r="P830" s="51" t="n"/>
      <c r="Q830" s="51" t="n"/>
    </row>
    <row r="831">
      <c r="B831" s="59" t="n"/>
      <c r="D831" s="51" t="n"/>
      <c r="I831" s="51" t="n"/>
      <c r="J831" s="51" t="n"/>
      <c r="K831" s="51" t="n"/>
      <c r="N831" s="51" t="n"/>
      <c r="P831" s="51" t="n"/>
      <c r="Q831" s="51" t="n"/>
    </row>
    <row r="832">
      <c r="B832" s="59" t="n"/>
      <c r="D832" s="51" t="n"/>
      <c r="I832" s="51" t="n"/>
      <c r="J832" s="51" t="n"/>
      <c r="K832" s="51" t="n"/>
      <c r="N832" s="51" t="n"/>
      <c r="P832" s="51" t="n"/>
      <c r="Q832" s="51" t="n"/>
    </row>
    <row r="833">
      <c r="B833" s="59" t="n"/>
      <c r="D833" s="51" t="n"/>
      <c r="I833" s="51" t="n"/>
      <c r="J833" s="51" t="n"/>
      <c r="K833" s="51" t="n"/>
      <c r="N833" s="51" t="n"/>
      <c r="P833" s="51" t="n"/>
      <c r="Q833" s="51" t="n"/>
    </row>
    <row r="834">
      <c r="B834" s="59" t="n"/>
      <c r="D834" s="51" t="n"/>
      <c r="I834" s="51" t="n"/>
      <c r="J834" s="51" t="n"/>
      <c r="K834" s="51" t="n"/>
      <c r="N834" s="51" t="n"/>
      <c r="P834" s="51" t="n"/>
      <c r="Q834" s="51" t="n"/>
    </row>
    <row r="835">
      <c r="B835" s="59" t="n"/>
      <c r="D835" s="51" t="n"/>
      <c r="I835" s="51" t="n"/>
      <c r="J835" s="51" t="n"/>
      <c r="K835" s="51" t="n"/>
      <c r="N835" s="51" t="n"/>
      <c r="P835" s="51" t="n"/>
      <c r="Q835" s="51" t="n"/>
    </row>
    <row r="836">
      <c r="B836" s="59" t="n"/>
      <c r="D836" s="51" t="n"/>
      <c r="I836" s="51" t="n"/>
      <c r="J836" s="51" t="n"/>
      <c r="K836" s="51" t="n"/>
      <c r="N836" s="51" t="n"/>
      <c r="P836" s="51" t="n"/>
      <c r="Q836" s="51" t="n"/>
    </row>
    <row r="837">
      <c r="B837" s="59" t="n"/>
      <c r="D837" s="51" t="n"/>
      <c r="I837" s="51" t="n"/>
      <c r="J837" s="51" t="n"/>
      <c r="K837" s="51" t="n"/>
      <c r="N837" s="51" t="n"/>
      <c r="P837" s="51" t="n"/>
      <c r="Q837" s="51" t="n"/>
    </row>
    <row r="838">
      <c r="B838" s="59" t="n"/>
      <c r="D838" s="51" t="n"/>
      <c r="I838" s="51" t="n"/>
      <c r="J838" s="51" t="n"/>
      <c r="K838" s="51" t="n"/>
      <c r="N838" s="51" t="n"/>
      <c r="P838" s="51" t="n"/>
      <c r="Q838" s="51" t="n"/>
    </row>
    <row r="839">
      <c r="B839" s="59" t="n"/>
      <c r="D839" s="51" t="n"/>
      <c r="I839" s="51" t="n"/>
      <c r="J839" s="51" t="n"/>
      <c r="K839" s="51" t="n"/>
      <c r="N839" s="51" t="n"/>
      <c r="P839" s="51" t="n"/>
      <c r="Q839" s="51" t="n"/>
    </row>
    <row r="840">
      <c r="B840" s="59" t="n"/>
      <c r="D840" s="51" t="n"/>
      <c r="I840" s="51" t="n"/>
      <c r="J840" s="51" t="n"/>
      <c r="K840" s="51" t="n"/>
      <c r="N840" s="51" t="n"/>
      <c r="P840" s="51" t="n"/>
      <c r="Q840" s="51" t="n"/>
    </row>
    <row r="841">
      <c r="B841" s="59" t="n"/>
      <c r="D841" s="51" t="n"/>
      <c r="I841" s="51" t="n"/>
      <c r="J841" s="51" t="n"/>
      <c r="K841" s="51" t="n"/>
      <c r="N841" s="51" t="n"/>
      <c r="P841" s="51" t="n"/>
      <c r="Q841" s="51" t="n"/>
    </row>
    <row r="842">
      <c r="B842" s="59" t="n"/>
      <c r="D842" s="51" t="n"/>
      <c r="I842" s="51" t="n"/>
      <c r="J842" s="51" t="n"/>
      <c r="K842" s="51" t="n"/>
      <c r="N842" s="51" t="n"/>
      <c r="P842" s="51" t="n"/>
      <c r="Q842" s="51" t="n"/>
    </row>
    <row r="843">
      <c r="B843" s="59" t="n"/>
      <c r="D843" s="51" t="n"/>
      <c r="I843" s="51" t="n"/>
      <c r="J843" s="51" t="n"/>
      <c r="K843" s="51" t="n"/>
      <c r="N843" s="51" t="n"/>
      <c r="P843" s="51" t="n"/>
      <c r="Q843" s="51" t="n"/>
    </row>
    <row r="844">
      <c r="B844" s="59" t="n"/>
      <c r="D844" s="51" t="n"/>
      <c r="I844" s="51" t="n"/>
      <c r="J844" s="51" t="n"/>
      <c r="K844" s="51" t="n"/>
      <c r="N844" s="51" t="n"/>
      <c r="P844" s="51" t="n"/>
      <c r="Q844" s="51" t="n"/>
    </row>
    <row r="845">
      <c r="B845" s="59" t="n"/>
      <c r="D845" s="51" t="n"/>
      <c r="I845" s="51" t="n"/>
      <c r="J845" s="51" t="n"/>
      <c r="K845" s="51" t="n"/>
      <c r="N845" s="51" t="n"/>
      <c r="P845" s="51" t="n"/>
      <c r="Q845" s="51" t="n"/>
    </row>
    <row r="846">
      <c r="B846" s="59" t="n"/>
      <c r="D846" s="51" t="n"/>
      <c r="I846" s="51" t="n"/>
      <c r="J846" s="51" t="n"/>
      <c r="K846" s="51" t="n"/>
      <c r="N846" s="51" t="n"/>
      <c r="P846" s="51" t="n"/>
      <c r="Q846" s="51" t="n"/>
    </row>
    <row r="847">
      <c r="B847" s="59" t="n"/>
      <c r="D847" s="51" t="n"/>
      <c r="I847" s="51" t="n"/>
      <c r="J847" s="51" t="n"/>
      <c r="K847" s="51" t="n"/>
      <c r="N847" s="51" t="n"/>
      <c r="P847" s="51" t="n"/>
      <c r="Q847" s="51" t="n"/>
    </row>
    <row r="848">
      <c r="B848" s="59" t="n"/>
      <c r="D848" s="51" t="n"/>
      <c r="I848" s="51" t="n"/>
      <c r="J848" s="51" t="n"/>
      <c r="K848" s="51" t="n"/>
      <c r="N848" s="51" t="n"/>
      <c r="P848" s="51" t="n"/>
      <c r="Q848" s="51" t="n"/>
    </row>
    <row r="849">
      <c r="B849" s="59" t="n"/>
      <c r="D849" s="51" t="n"/>
      <c r="I849" s="51" t="n"/>
      <c r="J849" s="51" t="n"/>
      <c r="K849" s="51" t="n"/>
      <c r="N849" s="51" t="n"/>
      <c r="P849" s="51" t="n"/>
      <c r="Q849" s="51" t="n"/>
    </row>
    <row r="850">
      <c r="B850" s="59" t="n"/>
      <c r="D850" s="51" t="n"/>
      <c r="I850" s="51" t="n"/>
      <c r="J850" s="51" t="n"/>
      <c r="K850" s="51" t="n"/>
      <c r="N850" s="51" t="n"/>
      <c r="P850" s="51" t="n"/>
      <c r="Q850" s="51" t="n"/>
    </row>
    <row r="851">
      <c r="B851" s="59" t="n"/>
      <c r="D851" s="51" t="n"/>
      <c r="I851" s="51" t="n"/>
      <c r="J851" s="51" t="n"/>
      <c r="K851" s="51" t="n"/>
      <c r="N851" s="51" t="n"/>
      <c r="P851" s="51" t="n"/>
      <c r="Q851" s="51" t="n"/>
    </row>
    <row r="852">
      <c r="B852" s="59" t="n"/>
      <c r="D852" s="51" t="n"/>
      <c r="I852" s="51" t="n"/>
      <c r="J852" s="51" t="n"/>
      <c r="K852" s="51" t="n"/>
      <c r="N852" s="51" t="n"/>
      <c r="P852" s="51" t="n"/>
      <c r="Q852" s="51" t="n"/>
    </row>
    <row r="853">
      <c r="B853" s="59" t="n"/>
      <c r="D853" s="51" t="n"/>
      <c r="I853" s="51" t="n"/>
      <c r="J853" s="51" t="n"/>
      <c r="K853" s="51" t="n"/>
      <c r="N853" s="51" t="n"/>
      <c r="P853" s="51" t="n"/>
      <c r="Q853" s="51" t="n"/>
    </row>
    <row r="854">
      <c r="B854" s="59" t="n"/>
      <c r="D854" s="51" t="n"/>
      <c r="I854" s="51" t="n"/>
      <c r="J854" s="51" t="n"/>
      <c r="K854" s="51" t="n"/>
      <c r="N854" s="51" t="n"/>
      <c r="P854" s="51" t="n"/>
      <c r="Q854" s="51" t="n"/>
    </row>
    <row r="855">
      <c r="B855" s="59" t="n"/>
      <c r="D855" s="51" t="n"/>
      <c r="I855" s="51" t="n"/>
      <c r="J855" s="51" t="n"/>
      <c r="K855" s="51" t="n"/>
      <c r="N855" s="51" t="n"/>
      <c r="P855" s="51" t="n"/>
      <c r="Q855" s="51" t="n"/>
    </row>
    <row r="856">
      <c r="B856" s="59" t="n"/>
      <c r="D856" s="51" t="n"/>
      <c r="I856" s="51" t="n"/>
      <c r="J856" s="51" t="n"/>
      <c r="K856" s="51" t="n"/>
      <c r="N856" s="51" t="n"/>
      <c r="P856" s="51" t="n"/>
      <c r="Q856" s="51" t="n"/>
    </row>
    <row r="857">
      <c r="B857" s="59" t="n"/>
      <c r="D857" s="51" t="n"/>
      <c r="I857" s="51" t="n"/>
      <c r="J857" s="51" t="n"/>
      <c r="K857" s="51" t="n"/>
      <c r="N857" s="51" t="n"/>
      <c r="P857" s="51" t="n"/>
      <c r="Q857" s="51" t="n"/>
    </row>
    <row r="858">
      <c r="B858" s="59" t="n"/>
      <c r="D858" s="51" t="n"/>
      <c r="I858" s="51" t="n"/>
      <c r="J858" s="51" t="n"/>
      <c r="K858" s="51" t="n"/>
      <c r="N858" s="51" t="n"/>
      <c r="P858" s="51" t="n"/>
      <c r="Q858" s="51" t="n"/>
    </row>
    <row r="859">
      <c r="B859" s="59" t="n"/>
      <c r="D859" s="51" t="n"/>
      <c r="I859" s="51" t="n"/>
      <c r="J859" s="51" t="n"/>
      <c r="K859" s="51" t="n"/>
      <c r="N859" s="51" t="n"/>
      <c r="P859" s="51" t="n"/>
      <c r="Q859" s="51" t="n"/>
    </row>
    <row r="860">
      <c r="B860" s="59" t="n"/>
      <c r="D860" s="51" t="n"/>
      <c r="I860" s="51" t="n"/>
      <c r="J860" s="51" t="n"/>
      <c r="K860" s="51" t="n"/>
      <c r="N860" s="51" t="n"/>
      <c r="P860" s="51" t="n"/>
      <c r="Q860" s="51" t="n"/>
    </row>
    <row r="861">
      <c r="B861" s="59" t="n"/>
      <c r="D861" s="51" t="n"/>
      <c r="I861" s="51" t="n"/>
      <c r="J861" s="51" t="n"/>
      <c r="K861" s="51" t="n"/>
      <c r="N861" s="51" t="n"/>
      <c r="P861" s="51" t="n"/>
      <c r="Q861" s="51" t="n"/>
    </row>
    <row r="862">
      <c r="B862" s="59" t="n"/>
      <c r="D862" s="51" t="n"/>
      <c r="I862" s="51" t="n"/>
      <c r="J862" s="51" t="n"/>
      <c r="K862" s="51" t="n"/>
      <c r="N862" s="51" t="n"/>
      <c r="P862" s="51" t="n"/>
      <c r="Q862" s="51" t="n"/>
    </row>
    <row r="863">
      <c r="B863" s="59" t="n"/>
      <c r="D863" s="51" t="n"/>
      <c r="I863" s="51" t="n"/>
      <c r="J863" s="51" t="n"/>
      <c r="K863" s="51" t="n"/>
      <c r="N863" s="51" t="n"/>
      <c r="P863" s="51" t="n"/>
      <c r="Q863" s="51" t="n"/>
    </row>
    <row r="864">
      <c r="B864" s="59" t="n"/>
      <c r="D864" s="51" t="n"/>
      <c r="I864" s="51" t="n"/>
      <c r="J864" s="51" t="n"/>
      <c r="K864" s="51" t="n"/>
      <c r="N864" s="51" t="n"/>
      <c r="P864" s="51" t="n"/>
      <c r="Q864" s="51" t="n"/>
    </row>
    <row r="865">
      <c r="B865" s="59" t="n"/>
      <c r="D865" s="51" t="n"/>
      <c r="I865" s="51" t="n"/>
      <c r="J865" s="51" t="n"/>
      <c r="K865" s="51" t="n"/>
      <c r="N865" s="51" t="n"/>
      <c r="P865" s="51" t="n"/>
      <c r="Q865" s="51" t="n"/>
    </row>
    <row r="866">
      <c r="B866" s="59" t="n"/>
      <c r="D866" s="51" t="n"/>
      <c r="I866" s="51" t="n"/>
      <c r="J866" s="51" t="n"/>
      <c r="K866" s="51" t="n"/>
      <c r="N866" s="51" t="n"/>
      <c r="P866" s="51" t="n"/>
      <c r="Q866" s="51" t="n"/>
    </row>
    <row r="867">
      <c r="B867" s="59" t="n"/>
      <c r="D867" s="51" t="n"/>
      <c r="I867" s="51" t="n"/>
      <c r="J867" s="51" t="n"/>
      <c r="K867" s="51" t="n"/>
      <c r="N867" s="51" t="n"/>
      <c r="P867" s="51" t="n"/>
      <c r="Q867" s="51" t="n"/>
    </row>
    <row r="868">
      <c r="B868" s="59" t="n"/>
      <c r="D868" s="51" t="n"/>
      <c r="I868" s="51" t="n"/>
      <c r="J868" s="51" t="n"/>
      <c r="K868" s="51" t="n"/>
      <c r="N868" s="51" t="n"/>
      <c r="P868" s="51" t="n"/>
      <c r="Q868" s="51" t="n"/>
    </row>
    <row r="869">
      <c r="B869" s="59" t="n"/>
      <c r="D869" s="51" t="n"/>
      <c r="I869" s="51" t="n"/>
      <c r="J869" s="51" t="n"/>
      <c r="K869" s="51" t="n"/>
      <c r="N869" s="51" t="n"/>
      <c r="P869" s="51" t="n"/>
      <c r="Q869" s="51" t="n"/>
    </row>
    <row r="870">
      <c r="B870" s="59" t="n"/>
      <c r="D870" s="51" t="n"/>
      <c r="I870" s="51" t="n"/>
      <c r="J870" s="51" t="n"/>
      <c r="K870" s="51" t="n"/>
      <c r="N870" s="51" t="n"/>
      <c r="P870" s="51" t="n"/>
      <c r="Q870" s="51" t="n"/>
    </row>
    <row r="871">
      <c r="B871" s="59" t="n"/>
      <c r="D871" s="51" t="n"/>
      <c r="I871" s="51" t="n"/>
      <c r="J871" s="51" t="n"/>
      <c r="K871" s="51" t="n"/>
      <c r="N871" s="51" t="n"/>
      <c r="P871" s="51" t="n"/>
      <c r="Q871" s="51" t="n"/>
    </row>
    <row r="872">
      <c r="B872" s="59" t="n"/>
      <c r="D872" s="51" t="n"/>
      <c r="I872" s="51" t="n"/>
      <c r="J872" s="51" t="n"/>
      <c r="K872" s="51" t="n"/>
      <c r="N872" s="51" t="n"/>
      <c r="P872" s="51" t="n"/>
      <c r="Q872" s="51" t="n"/>
    </row>
    <row r="873">
      <c r="B873" s="59" t="n"/>
      <c r="D873" s="51" t="n"/>
      <c r="I873" s="51" t="n"/>
      <c r="J873" s="51" t="n"/>
      <c r="K873" s="51" t="n"/>
      <c r="N873" s="51" t="n"/>
      <c r="P873" s="51" t="n"/>
      <c r="Q873" s="51" t="n"/>
    </row>
    <row r="874">
      <c r="B874" s="59" t="n"/>
      <c r="D874" s="51" t="n"/>
      <c r="I874" s="51" t="n"/>
      <c r="J874" s="51" t="n"/>
      <c r="K874" s="51" t="n"/>
      <c r="N874" s="51" t="n"/>
      <c r="P874" s="51" t="n"/>
      <c r="Q874" s="51" t="n"/>
    </row>
    <row r="875">
      <c r="B875" s="59" t="n"/>
      <c r="D875" s="51" t="n"/>
      <c r="I875" s="51" t="n"/>
      <c r="J875" s="51" t="n"/>
      <c r="K875" s="51" t="n"/>
      <c r="N875" s="51" t="n"/>
      <c r="P875" s="51" t="n"/>
      <c r="Q875" s="51" t="n"/>
    </row>
    <row r="876">
      <c r="B876" s="59" t="n"/>
      <c r="D876" s="51" t="n"/>
      <c r="I876" s="51" t="n"/>
      <c r="J876" s="51" t="n"/>
      <c r="K876" s="51" t="n"/>
      <c r="N876" s="51" t="n"/>
      <c r="P876" s="51" t="n"/>
      <c r="Q876" s="51" t="n"/>
    </row>
    <row r="877">
      <c r="B877" s="59" t="n"/>
      <c r="D877" s="51" t="n"/>
      <c r="I877" s="51" t="n"/>
      <c r="J877" s="51" t="n"/>
      <c r="K877" s="51" t="n"/>
      <c r="N877" s="51" t="n"/>
      <c r="P877" s="51" t="n"/>
      <c r="Q877" s="51" t="n"/>
    </row>
    <row r="878">
      <c r="B878" s="59" t="n"/>
      <c r="D878" s="51" t="n"/>
      <c r="I878" s="51" t="n"/>
      <c r="J878" s="51" t="n"/>
      <c r="K878" s="51" t="n"/>
      <c r="N878" s="51" t="n"/>
      <c r="P878" s="51" t="n"/>
      <c r="Q878" s="51" t="n"/>
    </row>
    <row r="879">
      <c r="B879" s="59" t="n"/>
      <c r="D879" s="51" t="n"/>
      <c r="I879" s="51" t="n"/>
      <c r="J879" s="51" t="n"/>
      <c r="K879" s="51" t="n"/>
      <c r="N879" s="51" t="n"/>
      <c r="P879" s="51" t="n"/>
      <c r="Q879" s="51" t="n"/>
    </row>
    <row r="880">
      <c r="B880" s="59" t="n"/>
      <c r="D880" s="51" t="n"/>
      <c r="I880" s="51" t="n"/>
      <c r="J880" s="51" t="n"/>
      <c r="K880" s="51" t="n"/>
      <c r="N880" s="51" t="n"/>
      <c r="P880" s="51" t="n"/>
      <c r="Q880" s="51" t="n"/>
    </row>
    <row r="881">
      <c r="B881" s="59" t="n"/>
      <c r="D881" s="51" t="n"/>
      <c r="I881" s="51" t="n"/>
      <c r="J881" s="51" t="n"/>
      <c r="K881" s="51" t="n"/>
      <c r="N881" s="51" t="n"/>
      <c r="P881" s="51" t="n"/>
      <c r="Q881" s="51" t="n"/>
    </row>
    <row r="882">
      <c r="B882" s="59" t="n"/>
      <c r="D882" s="51" t="n"/>
      <c r="I882" s="51" t="n"/>
      <c r="J882" s="51" t="n"/>
      <c r="K882" s="51" t="n"/>
      <c r="N882" s="51" t="n"/>
      <c r="P882" s="51" t="n"/>
      <c r="Q882" s="51" t="n"/>
    </row>
    <row r="883">
      <c r="B883" s="59" t="n"/>
      <c r="D883" s="51" t="n"/>
      <c r="I883" s="51" t="n"/>
      <c r="J883" s="51" t="n"/>
      <c r="K883" s="51" t="n"/>
      <c r="N883" s="51" t="n"/>
      <c r="P883" s="51" t="n"/>
      <c r="Q883" s="51" t="n"/>
    </row>
    <row r="884">
      <c r="B884" s="59" t="n"/>
      <c r="D884" s="51" t="n"/>
      <c r="I884" s="51" t="n"/>
      <c r="J884" s="51" t="n"/>
      <c r="K884" s="51" t="n"/>
      <c r="N884" s="51" t="n"/>
      <c r="P884" s="51" t="n"/>
      <c r="Q884" s="51" t="n"/>
    </row>
    <row r="885">
      <c r="B885" s="59" t="n"/>
      <c r="D885" s="51" t="n"/>
      <c r="I885" s="51" t="n"/>
      <c r="J885" s="51" t="n"/>
      <c r="K885" s="51" t="n"/>
      <c r="N885" s="51" t="n"/>
      <c r="P885" s="51" t="n"/>
      <c r="Q885" s="51" t="n"/>
    </row>
    <row r="886">
      <c r="B886" s="59" t="n"/>
      <c r="D886" s="51" t="n"/>
      <c r="I886" s="51" t="n"/>
      <c r="J886" s="51" t="n"/>
      <c r="K886" s="51" t="n"/>
      <c r="N886" s="51" t="n"/>
      <c r="P886" s="51" t="n"/>
      <c r="Q886" s="51" t="n"/>
    </row>
    <row r="887">
      <c r="B887" s="59" t="n"/>
      <c r="D887" s="51" t="n"/>
      <c r="I887" s="51" t="n"/>
      <c r="J887" s="51" t="n"/>
      <c r="K887" s="51" t="n"/>
      <c r="N887" s="51" t="n"/>
      <c r="P887" s="51" t="n"/>
      <c r="Q887" s="51" t="n"/>
    </row>
    <row r="888">
      <c r="B888" s="59" t="n"/>
      <c r="D888" s="51" t="n"/>
      <c r="I888" s="51" t="n"/>
      <c r="J888" s="51" t="n"/>
      <c r="K888" s="51" t="n"/>
      <c r="N888" s="51" t="n"/>
      <c r="P888" s="51" t="n"/>
      <c r="Q888" s="51" t="n"/>
    </row>
    <row r="889">
      <c r="B889" s="59" t="n"/>
      <c r="D889" s="51" t="n"/>
      <c r="I889" s="51" t="n"/>
      <c r="J889" s="51" t="n"/>
      <c r="K889" s="51" t="n"/>
      <c r="N889" s="51" t="n"/>
      <c r="P889" s="51" t="n"/>
      <c r="Q889" s="51" t="n"/>
    </row>
    <row r="890">
      <c r="B890" s="59" t="n"/>
      <c r="D890" s="51" t="n"/>
      <c r="I890" s="51" t="n"/>
      <c r="J890" s="51" t="n"/>
      <c r="K890" s="51" t="n"/>
      <c r="N890" s="51" t="n"/>
      <c r="P890" s="51" t="n"/>
      <c r="Q890" s="51" t="n"/>
    </row>
    <row r="891">
      <c r="B891" s="59" t="n"/>
      <c r="D891" s="51" t="n"/>
      <c r="I891" s="51" t="n"/>
      <c r="J891" s="51" t="n"/>
      <c r="K891" s="51" t="n"/>
      <c r="N891" s="51" t="n"/>
      <c r="P891" s="51" t="n"/>
      <c r="Q891" s="51" t="n"/>
    </row>
    <row r="892">
      <c r="B892" s="59" t="n"/>
      <c r="D892" s="51" t="n"/>
      <c r="I892" s="51" t="n"/>
      <c r="J892" s="51" t="n"/>
      <c r="K892" s="51" t="n"/>
      <c r="N892" s="51" t="n"/>
      <c r="P892" s="51" t="n"/>
      <c r="Q892" s="51" t="n"/>
    </row>
    <row r="893">
      <c r="B893" s="59" t="n"/>
      <c r="D893" s="51" t="n"/>
      <c r="I893" s="51" t="n"/>
      <c r="J893" s="51" t="n"/>
      <c r="K893" s="51" t="n"/>
      <c r="N893" s="51" t="n"/>
      <c r="P893" s="51" t="n"/>
      <c r="Q893" s="51" t="n"/>
    </row>
    <row r="894">
      <c r="B894" s="59" t="n"/>
      <c r="D894" s="51" t="n"/>
      <c r="I894" s="51" t="n"/>
      <c r="J894" s="51" t="n"/>
      <c r="K894" s="51" t="n"/>
      <c r="N894" s="51" t="n"/>
      <c r="P894" s="51" t="n"/>
      <c r="Q894" s="51" t="n"/>
    </row>
    <row r="895">
      <c r="B895" s="59" t="n"/>
      <c r="D895" s="51" t="n"/>
      <c r="I895" s="51" t="n"/>
      <c r="J895" s="51" t="n"/>
      <c r="K895" s="51" t="n"/>
      <c r="N895" s="51" t="n"/>
      <c r="P895" s="51" t="n"/>
      <c r="Q895" s="51" t="n"/>
    </row>
    <row r="896">
      <c r="B896" s="59" t="n"/>
      <c r="D896" s="51" t="n"/>
      <c r="I896" s="51" t="n"/>
      <c r="J896" s="51" t="n"/>
      <c r="K896" s="51" t="n"/>
      <c r="N896" s="51" t="n"/>
      <c r="P896" s="51" t="n"/>
      <c r="Q896" s="51" t="n"/>
    </row>
    <row r="897">
      <c r="B897" s="59" t="n"/>
      <c r="D897" s="51" t="n"/>
      <c r="I897" s="51" t="n"/>
      <c r="J897" s="51" t="n"/>
      <c r="K897" s="51" t="n"/>
      <c r="N897" s="51" t="n"/>
      <c r="P897" s="51" t="n"/>
      <c r="Q897" s="51" t="n"/>
    </row>
    <row r="898">
      <c r="B898" s="59" t="n"/>
      <c r="D898" s="51" t="n"/>
      <c r="I898" s="51" t="n"/>
      <c r="J898" s="51" t="n"/>
      <c r="K898" s="51" t="n"/>
      <c r="N898" s="51" t="n"/>
      <c r="P898" s="51" t="n"/>
      <c r="Q898" s="51" t="n"/>
    </row>
    <row r="899">
      <c r="B899" s="59" t="n"/>
      <c r="D899" s="51" t="n"/>
      <c r="I899" s="51" t="n"/>
      <c r="J899" s="51" t="n"/>
      <c r="K899" s="51" t="n"/>
      <c r="N899" s="51" t="n"/>
      <c r="P899" s="51" t="n"/>
      <c r="Q899" s="51" t="n"/>
    </row>
    <row r="900">
      <c r="B900" s="59" t="n"/>
      <c r="D900" s="51" t="n"/>
      <c r="I900" s="51" t="n"/>
      <c r="J900" s="51" t="n"/>
      <c r="K900" s="51" t="n"/>
      <c r="N900" s="51" t="n"/>
      <c r="P900" s="51" t="n"/>
      <c r="Q900" s="51" t="n"/>
    </row>
    <row r="901">
      <c r="B901" s="59" t="n"/>
      <c r="D901" s="51" t="n"/>
      <c r="I901" s="51" t="n"/>
      <c r="J901" s="51" t="n"/>
      <c r="K901" s="51" t="n"/>
      <c r="N901" s="51" t="n"/>
      <c r="P901" s="51" t="n"/>
      <c r="Q901" s="51" t="n"/>
    </row>
    <row r="902">
      <c r="B902" s="59" t="n"/>
      <c r="D902" s="51" t="n"/>
      <c r="I902" s="51" t="n"/>
      <c r="J902" s="51" t="n"/>
      <c r="K902" s="51" t="n"/>
      <c r="N902" s="51" t="n"/>
      <c r="P902" s="51" t="n"/>
      <c r="Q902" s="51" t="n"/>
    </row>
    <row r="903">
      <c r="B903" s="59" t="n"/>
      <c r="D903" s="51" t="n"/>
      <c r="I903" s="51" t="n"/>
      <c r="J903" s="51" t="n"/>
      <c r="K903" s="51" t="n"/>
      <c r="N903" s="51" t="n"/>
      <c r="P903" s="51" t="n"/>
      <c r="Q903" s="51" t="n"/>
    </row>
    <row r="904">
      <c r="B904" s="59" t="n"/>
      <c r="D904" s="51" t="n"/>
      <c r="I904" s="51" t="n"/>
      <c r="J904" s="51" t="n"/>
      <c r="K904" s="51" t="n"/>
      <c r="N904" s="51" t="n"/>
      <c r="P904" s="51" t="n"/>
      <c r="Q904" s="51" t="n"/>
    </row>
    <row r="905">
      <c r="B905" s="59" t="n"/>
      <c r="D905" s="51" t="n"/>
      <c r="I905" s="51" t="n"/>
      <c r="J905" s="51" t="n"/>
      <c r="K905" s="51" t="n"/>
      <c r="N905" s="51" t="n"/>
      <c r="P905" s="51" t="n"/>
      <c r="Q905" s="51" t="n"/>
    </row>
    <row r="906">
      <c r="B906" s="59" t="n"/>
      <c r="D906" s="51" t="n"/>
      <c r="I906" s="51" t="n"/>
      <c r="J906" s="51" t="n"/>
      <c r="K906" s="51" t="n"/>
      <c r="N906" s="51" t="n"/>
      <c r="P906" s="51" t="n"/>
      <c r="Q906" s="51" t="n"/>
    </row>
    <row r="907">
      <c r="B907" s="59" t="n"/>
      <c r="D907" s="51" t="n"/>
      <c r="I907" s="51" t="n"/>
      <c r="J907" s="51" t="n"/>
      <c r="K907" s="51" t="n"/>
      <c r="N907" s="51" t="n"/>
      <c r="P907" s="51" t="n"/>
      <c r="Q907" s="51" t="n"/>
    </row>
    <row r="908">
      <c r="B908" s="59" t="n"/>
      <c r="D908" s="51" t="n"/>
      <c r="I908" s="51" t="n"/>
      <c r="J908" s="51" t="n"/>
      <c r="K908" s="51" t="n"/>
      <c r="N908" s="51" t="n"/>
      <c r="P908" s="51" t="n"/>
      <c r="Q908" s="51" t="n"/>
    </row>
    <row r="909">
      <c r="B909" s="59" t="n"/>
      <c r="D909" s="51" t="n"/>
      <c r="I909" s="51" t="n"/>
      <c r="J909" s="51" t="n"/>
      <c r="K909" s="51" t="n"/>
      <c r="N909" s="51" t="n"/>
      <c r="P909" s="51" t="n"/>
      <c r="Q909" s="51" t="n"/>
    </row>
    <row r="910">
      <c r="B910" s="59" t="n"/>
      <c r="D910" s="51" t="n"/>
      <c r="I910" s="51" t="n"/>
      <c r="J910" s="51" t="n"/>
      <c r="K910" s="51" t="n"/>
      <c r="N910" s="51" t="n"/>
      <c r="P910" s="51" t="n"/>
      <c r="Q910" s="51" t="n"/>
    </row>
    <row r="911">
      <c r="B911" s="59" t="n"/>
      <c r="D911" s="51" t="n"/>
      <c r="I911" s="51" t="n"/>
      <c r="J911" s="51" t="n"/>
      <c r="K911" s="51" t="n"/>
      <c r="N911" s="51" t="n"/>
      <c r="P911" s="51" t="n"/>
      <c r="Q911" s="51" t="n"/>
    </row>
    <row r="912">
      <c r="B912" s="59" t="n"/>
      <c r="D912" s="51" t="n"/>
      <c r="I912" s="51" t="n"/>
      <c r="J912" s="51" t="n"/>
      <c r="K912" s="51" t="n"/>
      <c r="N912" s="51" t="n"/>
      <c r="P912" s="51" t="n"/>
      <c r="Q912" s="51" t="n"/>
    </row>
    <row r="913">
      <c r="B913" s="59" t="n"/>
      <c r="D913" s="51" t="n"/>
      <c r="I913" s="51" t="n"/>
      <c r="J913" s="51" t="n"/>
      <c r="K913" s="51" t="n"/>
      <c r="N913" s="51" t="n"/>
      <c r="P913" s="51" t="n"/>
      <c r="Q913" s="51" t="n"/>
    </row>
    <row r="914">
      <c r="B914" s="59" t="n"/>
      <c r="D914" s="51" t="n"/>
      <c r="I914" s="51" t="n"/>
      <c r="J914" s="51" t="n"/>
      <c r="K914" s="51" t="n"/>
      <c r="N914" s="51" t="n"/>
      <c r="P914" s="51" t="n"/>
      <c r="Q914" s="51" t="n"/>
    </row>
    <row r="915">
      <c r="B915" s="59" t="n"/>
      <c r="D915" s="51" t="n"/>
      <c r="I915" s="51" t="n"/>
      <c r="J915" s="51" t="n"/>
      <c r="K915" s="51" t="n"/>
      <c r="N915" s="51" t="n"/>
      <c r="P915" s="51" t="n"/>
      <c r="Q915" s="51" t="n"/>
    </row>
    <row r="916">
      <c r="B916" s="59" t="n"/>
      <c r="D916" s="51" t="n"/>
      <c r="I916" s="51" t="n"/>
      <c r="J916" s="51" t="n"/>
      <c r="K916" s="51" t="n"/>
      <c r="N916" s="51" t="n"/>
      <c r="P916" s="51" t="n"/>
      <c r="Q916" s="51" t="n"/>
    </row>
    <row r="917">
      <c r="B917" s="59" t="n"/>
      <c r="D917" s="51" t="n"/>
      <c r="I917" s="51" t="n"/>
      <c r="J917" s="51" t="n"/>
      <c r="K917" s="51" t="n"/>
      <c r="N917" s="51" t="n"/>
      <c r="P917" s="51" t="n"/>
      <c r="Q917" s="51" t="n"/>
    </row>
    <row r="918">
      <c r="B918" s="59" t="n"/>
      <c r="D918" s="51" t="n"/>
      <c r="I918" s="51" t="n"/>
      <c r="J918" s="51" t="n"/>
      <c r="K918" s="51" t="n"/>
      <c r="N918" s="51" t="n"/>
      <c r="P918" s="51" t="n"/>
      <c r="Q918" s="51" t="n"/>
    </row>
    <row r="919">
      <c r="B919" s="59" t="n"/>
      <c r="D919" s="51" t="n"/>
      <c r="I919" s="51" t="n"/>
      <c r="J919" s="51" t="n"/>
      <c r="K919" s="51" t="n"/>
      <c r="N919" s="51" t="n"/>
      <c r="P919" s="51" t="n"/>
      <c r="Q919" s="51" t="n"/>
    </row>
    <row r="920">
      <c r="B920" s="59" t="n"/>
      <c r="D920" s="51" t="n"/>
      <c r="I920" s="51" t="n"/>
      <c r="J920" s="51" t="n"/>
      <c r="K920" s="51" t="n"/>
      <c r="N920" s="51" t="n"/>
      <c r="P920" s="51" t="n"/>
      <c r="Q920" s="51" t="n"/>
    </row>
    <row r="921">
      <c r="B921" s="59" t="n"/>
      <c r="D921" s="51" t="n"/>
      <c r="I921" s="51" t="n"/>
      <c r="J921" s="51" t="n"/>
      <c r="K921" s="51" t="n"/>
      <c r="N921" s="51" t="n"/>
      <c r="P921" s="51" t="n"/>
      <c r="Q921" s="51" t="n"/>
    </row>
    <row r="922">
      <c r="B922" s="59" t="n"/>
      <c r="D922" s="51" t="n"/>
      <c r="I922" s="51" t="n"/>
      <c r="J922" s="51" t="n"/>
      <c r="K922" s="51" t="n"/>
      <c r="N922" s="51" t="n"/>
      <c r="P922" s="51" t="n"/>
      <c r="Q922" s="51" t="n"/>
    </row>
    <row r="923">
      <c r="B923" s="59" t="n"/>
      <c r="D923" s="51" t="n"/>
      <c r="I923" s="51" t="n"/>
      <c r="J923" s="51" t="n"/>
      <c r="K923" s="51" t="n"/>
      <c r="N923" s="51" t="n"/>
      <c r="P923" s="51" t="n"/>
      <c r="Q923" s="51" t="n"/>
    </row>
    <row r="924">
      <c r="B924" s="59" t="n"/>
      <c r="D924" s="51" t="n"/>
      <c r="I924" s="51" t="n"/>
      <c r="J924" s="51" t="n"/>
      <c r="K924" s="51" t="n"/>
      <c r="N924" s="51" t="n"/>
      <c r="P924" s="51" t="n"/>
      <c r="Q924" s="51" t="n"/>
    </row>
    <row r="925">
      <c r="B925" s="59" t="n"/>
      <c r="D925" s="51" t="n"/>
      <c r="I925" s="51" t="n"/>
      <c r="J925" s="51" t="n"/>
      <c r="K925" s="51" t="n"/>
      <c r="N925" s="51" t="n"/>
      <c r="P925" s="51" t="n"/>
      <c r="Q925" s="51" t="n"/>
    </row>
    <row r="926">
      <c r="B926" s="59" t="n"/>
      <c r="D926" s="51" t="n"/>
      <c r="I926" s="51" t="n"/>
      <c r="J926" s="51" t="n"/>
      <c r="K926" s="51" t="n"/>
      <c r="N926" s="51" t="n"/>
      <c r="P926" s="51" t="n"/>
      <c r="Q926" s="51" t="n"/>
    </row>
    <row r="927">
      <c r="B927" s="59" t="n"/>
      <c r="D927" s="51" t="n"/>
      <c r="I927" s="51" t="n"/>
      <c r="J927" s="51" t="n"/>
      <c r="K927" s="51" t="n"/>
      <c r="N927" s="51" t="n"/>
      <c r="P927" s="51" t="n"/>
      <c r="Q927" s="51" t="n"/>
    </row>
    <row r="928">
      <c r="B928" s="59" t="n"/>
      <c r="D928" s="51" t="n"/>
      <c r="I928" s="51" t="n"/>
      <c r="J928" s="51" t="n"/>
      <c r="K928" s="51" t="n"/>
      <c r="N928" s="51" t="n"/>
      <c r="P928" s="51" t="n"/>
      <c r="Q928" s="51" t="n"/>
    </row>
    <row r="929">
      <c r="B929" s="59" t="n"/>
      <c r="D929" s="51" t="n"/>
      <c r="I929" s="51" t="n"/>
      <c r="J929" s="51" t="n"/>
      <c r="K929" s="51" t="n"/>
      <c r="N929" s="51" t="n"/>
      <c r="P929" s="51" t="n"/>
      <c r="Q929" s="51" t="n"/>
    </row>
    <row r="930">
      <c r="B930" s="59" t="n"/>
      <c r="D930" s="51" t="n"/>
      <c r="I930" s="51" t="n"/>
      <c r="J930" s="51" t="n"/>
      <c r="K930" s="51" t="n"/>
      <c r="N930" s="51" t="n"/>
      <c r="P930" s="51" t="n"/>
      <c r="Q930" s="51" t="n"/>
    </row>
    <row r="931">
      <c r="B931" s="59" t="n"/>
      <c r="D931" s="51" t="n"/>
      <c r="I931" s="51" t="n"/>
      <c r="J931" s="51" t="n"/>
      <c r="K931" s="51" t="n"/>
      <c r="N931" s="51" t="n"/>
      <c r="P931" s="51" t="n"/>
      <c r="Q931" s="51" t="n"/>
    </row>
    <row r="932">
      <c r="B932" s="59" t="n"/>
      <c r="D932" s="51" t="n"/>
      <c r="I932" s="51" t="n"/>
      <c r="J932" s="51" t="n"/>
      <c r="K932" s="51" t="n"/>
      <c r="N932" s="51" t="n"/>
      <c r="P932" s="51" t="n"/>
      <c r="Q932" s="51" t="n"/>
    </row>
    <row r="933">
      <c r="B933" s="59" t="n"/>
      <c r="D933" s="51" t="n"/>
      <c r="I933" s="51" t="n"/>
      <c r="J933" s="51" t="n"/>
      <c r="K933" s="51" t="n"/>
      <c r="N933" s="51" t="n"/>
      <c r="P933" s="51" t="n"/>
      <c r="Q933" s="51" t="n"/>
    </row>
    <row r="934">
      <c r="B934" s="59" t="n"/>
      <c r="D934" s="51" t="n"/>
      <c r="I934" s="51" t="n"/>
      <c r="J934" s="51" t="n"/>
      <c r="K934" s="51" t="n"/>
      <c r="N934" s="51" t="n"/>
      <c r="P934" s="51" t="n"/>
      <c r="Q934" s="51" t="n"/>
    </row>
    <row r="935">
      <c r="B935" s="59" t="n"/>
      <c r="D935" s="51" t="n"/>
      <c r="I935" s="51" t="n"/>
      <c r="J935" s="51" t="n"/>
      <c r="K935" s="51" t="n"/>
      <c r="N935" s="51" t="n"/>
      <c r="P935" s="51" t="n"/>
      <c r="Q935" s="51" t="n"/>
    </row>
    <row r="936">
      <c r="B936" s="59" t="n"/>
      <c r="D936" s="51" t="n"/>
      <c r="I936" s="51" t="n"/>
      <c r="J936" s="51" t="n"/>
      <c r="K936" s="51" t="n"/>
      <c r="N936" s="51" t="n"/>
      <c r="P936" s="51" t="n"/>
      <c r="Q936" s="51" t="n"/>
    </row>
    <row r="937">
      <c r="B937" s="59" t="n"/>
      <c r="D937" s="51" t="n"/>
      <c r="I937" s="51" t="n"/>
      <c r="J937" s="51" t="n"/>
      <c r="K937" s="51" t="n"/>
      <c r="N937" s="51" t="n"/>
      <c r="P937" s="51" t="n"/>
      <c r="Q937" s="51" t="n"/>
    </row>
    <row r="938">
      <c r="B938" s="59" t="n"/>
      <c r="D938" s="51" t="n"/>
      <c r="I938" s="51" t="n"/>
      <c r="J938" s="51" t="n"/>
      <c r="K938" s="51" t="n"/>
      <c r="N938" s="51" t="n"/>
      <c r="P938" s="51" t="n"/>
      <c r="Q938" s="51" t="n"/>
    </row>
    <row r="939">
      <c r="B939" s="59" t="n"/>
      <c r="D939" s="51" t="n"/>
      <c r="I939" s="51" t="n"/>
      <c r="J939" s="51" t="n"/>
      <c r="K939" s="51" t="n"/>
      <c r="N939" s="51" t="n"/>
      <c r="P939" s="51" t="n"/>
      <c r="Q939" s="51" t="n"/>
    </row>
    <row r="940">
      <c r="B940" s="59" t="n"/>
      <c r="D940" s="51" t="n"/>
      <c r="I940" s="51" t="n"/>
      <c r="J940" s="51" t="n"/>
      <c r="K940" s="51" t="n"/>
      <c r="N940" s="51" t="n"/>
      <c r="P940" s="51" t="n"/>
      <c r="Q940" s="51" t="n"/>
    </row>
    <row r="941">
      <c r="B941" s="59" t="n"/>
      <c r="D941" s="51" t="n"/>
      <c r="I941" s="51" t="n"/>
      <c r="J941" s="51" t="n"/>
      <c r="K941" s="51" t="n"/>
      <c r="N941" s="51" t="n"/>
      <c r="P941" s="51" t="n"/>
      <c r="Q941" s="51" t="n"/>
    </row>
    <row r="942">
      <c r="B942" s="59" t="n"/>
      <c r="D942" s="51" t="n"/>
      <c r="I942" s="51" t="n"/>
      <c r="J942" s="51" t="n"/>
      <c r="K942" s="51" t="n"/>
      <c r="N942" s="51" t="n"/>
      <c r="P942" s="51" t="n"/>
      <c r="Q942" s="51" t="n"/>
    </row>
    <row r="943">
      <c r="B943" s="59" t="n"/>
      <c r="D943" s="51" t="n"/>
      <c r="I943" s="51" t="n"/>
      <c r="J943" s="51" t="n"/>
      <c r="K943" s="51" t="n"/>
      <c r="N943" s="51" t="n"/>
      <c r="P943" s="51" t="n"/>
      <c r="Q943" s="51" t="n"/>
    </row>
    <row r="944">
      <c r="B944" s="59" t="n"/>
      <c r="D944" s="51" t="n"/>
      <c r="I944" s="51" t="n"/>
      <c r="J944" s="51" t="n"/>
      <c r="K944" s="51" t="n"/>
      <c r="N944" s="51" t="n"/>
      <c r="P944" s="51" t="n"/>
      <c r="Q944" s="51" t="n"/>
    </row>
    <row r="945">
      <c r="B945" s="59" t="n"/>
      <c r="D945" s="51" t="n"/>
      <c r="I945" s="51" t="n"/>
      <c r="J945" s="51" t="n"/>
      <c r="K945" s="51" t="n"/>
      <c r="N945" s="51" t="n"/>
      <c r="P945" s="51" t="n"/>
      <c r="Q945" s="51" t="n"/>
    </row>
    <row r="946">
      <c r="B946" s="59" t="n"/>
      <c r="D946" s="51" t="n"/>
      <c r="I946" s="51" t="n"/>
      <c r="J946" s="51" t="n"/>
      <c r="K946" s="51" t="n"/>
      <c r="N946" s="51" t="n"/>
      <c r="P946" s="51" t="n"/>
      <c r="Q946" s="51" t="n"/>
    </row>
    <row r="947">
      <c r="B947" s="59" t="n"/>
      <c r="D947" s="51" t="n"/>
      <c r="I947" s="51" t="n"/>
      <c r="J947" s="51" t="n"/>
      <c r="K947" s="51" t="n"/>
      <c r="N947" s="51" t="n"/>
      <c r="P947" s="51" t="n"/>
      <c r="Q947" s="51" t="n"/>
    </row>
    <row r="948">
      <c r="B948" s="59" t="n"/>
      <c r="D948" s="51" t="n"/>
      <c r="I948" s="51" t="n"/>
      <c r="J948" s="51" t="n"/>
      <c r="K948" s="51" t="n"/>
      <c r="N948" s="51" t="n"/>
      <c r="P948" s="51" t="n"/>
      <c r="Q948" s="51" t="n"/>
    </row>
    <row r="949">
      <c r="B949" s="59" t="n"/>
      <c r="D949" s="51" t="n"/>
      <c r="I949" s="51" t="n"/>
      <c r="J949" s="51" t="n"/>
      <c r="K949" s="51" t="n"/>
      <c r="N949" s="51" t="n"/>
      <c r="P949" s="51" t="n"/>
      <c r="Q949" s="51" t="n"/>
    </row>
    <row r="950">
      <c r="B950" s="59" t="n"/>
      <c r="D950" s="51" t="n"/>
      <c r="I950" s="51" t="n"/>
      <c r="J950" s="51" t="n"/>
      <c r="K950" s="51" t="n"/>
      <c r="N950" s="51" t="n"/>
      <c r="P950" s="51" t="n"/>
      <c r="Q950" s="51" t="n"/>
    </row>
    <row r="951">
      <c r="B951" s="59" t="n"/>
      <c r="D951" s="51" t="n"/>
      <c r="I951" s="51" t="n"/>
      <c r="J951" s="51" t="n"/>
      <c r="K951" s="51" t="n"/>
      <c r="N951" s="51" t="n"/>
      <c r="P951" s="51" t="n"/>
      <c r="Q951" s="51" t="n"/>
    </row>
    <row r="952">
      <c r="B952" s="59" t="n"/>
      <c r="D952" s="51" t="n"/>
      <c r="I952" s="51" t="n"/>
      <c r="J952" s="51" t="n"/>
      <c r="K952" s="51" t="n"/>
      <c r="N952" s="51" t="n"/>
      <c r="P952" s="51" t="n"/>
      <c r="Q952" s="51" t="n"/>
    </row>
    <row r="953">
      <c r="B953" s="59" t="n"/>
      <c r="D953" s="51" t="n"/>
      <c r="I953" s="51" t="n"/>
      <c r="J953" s="51" t="n"/>
      <c r="K953" s="51" t="n"/>
      <c r="N953" s="51" t="n"/>
      <c r="P953" s="51" t="n"/>
      <c r="Q953" s="51" t="n"/>
    </row>
    <row r="954">
      <c r="B954" s="59" t="n"/>
      <c r="D954" s="51" t="n"/>
      <c r="I954" s="51" t="n"/>
      <c r="J954" s="51" t="n"/>
      <c r="K954" s="51" t="n"/>
      <c r="N954" s="51" t="n"/>
      <c r="P954" s="51" t="n"/>
      <c r="Q954" s="51" t="n"/>
    </row>
    <row r="955">
      <c r="B955" s="59" t="n"/>
      <c r="D955" s="51" t="n"/>
      <c r="I955" s="51" t="n"/>
      <c r="J955" s="51" t="n"/>
      <c r="K955" s="51" t="n"/>
      <c r="N955" s="51" t="n"/>
      <c r="P955" s="51" t="n"/>
      <c r="Q955" s="51" t="n"/>
    </row>
    <row r="956">
      <c r="B956" s="59" t="n"/>
      <c r="D956" s="51" t="n"/>
      <c r="I956" s="51" t="n"/>
      <c r="J956" s="51" t="n"/>
      <c r="K956" s="51" t="n"/>
      <c r="N956" s="51" t="n"/>
      <c r="P956" s="51" t="n"/>
      <c r="Q956" s="51" t="n"/>
    </row>
    <row r="957">
      <c r="B957" s="59" t="n"/>
      <c r="D957" s="51" t="n"/>
      <c r="I957" s="51" t="n"/>
      <c r="J957" s="51" t="n"/>
      <c r="K957" s="51" t="n"/>
      <c r="N957" s="51" t="n"/>
      <c r="P957" s="51" t="n"/>
      <c r="Q957" s="51" t="n"/>
    </row>
    <row r="958">
      <c r="B958" s="59" t="n"/>
      <c r="D958" s="51" t="n"/>
      <c r="I958" s="51" t="n"/>
      <c r="J958" s="51" t="n"/>
      <c r="K958" s="51" t="n"/>
      <c r="N958" s="51" t="n"/>
      <c r="P958" s="51" t="n"/>
      <c r="Q958" s="51" t="n"/>
    </row>
    <row r="959">
      <c r="B959" s="59" t="n"/>
      <c r="D959" s="51" t="n"/>
      <c r="I959" s="51" t="n"/>
      <c r="J959" s="51" t="n"/>
      <c r="K959" s="51" t="n"/>
      <c r="N959" s="51" t="n"/>
      <c r="P959" s="51" t="n"/>
      <c r="Q959" s="51" t="n"/>
    </row>
    <row r="960">
      <c r="B960" s="59" t="n"/>
      <c r="D960" s="51" t="n"/>
      <c r="I960" s="51" t="n"/>
      <c r="J960" s="51" t="n"/>
      <c r="K960" s="51" t="n"/>
      <c r="N960" s="51" t="n"/>
      <c r="P960" s="51" t="n"/>
      <c r="Q960" s="51" t="n"/>
    </row>
    <row r="961">
      <c r="B961" s="59" t="n"/>
      <c r="D961" s="51" t="n"/>
      <c r="I961" s="51" t="n"/>
      <c r="J961" s="51" t="n"/>
      <c r="K961" s="51" t="n"/>
      <c r="N961" s="51" t="n"/>
      <c r="P961" s="51" t="n"/>
      <c r="Q961" s="51" t="n"/>
    </row>
    <row r="962">
      <c r="B962" s="59" t="n"/>
      <c r="D962" s="51" t="n"/>
      <c r="I962" s="51" t="n"/>
      <c r="J962" s="51" t="n"/>
      <c r="K962" s="51" t="n"/>
      <c r="N962" s="51" t="n"/>
      <c r="P962" s="51" t="n"/>
      <c r="Q962" s="51" t="n"/>
    </row>
    <row r="963">
      <c r="B963" s="59" t="n"/>
      <c r="D963" s="51" t="n"/>
      <c r="I963" s="51" t="n"/>
      <c r="J963" s="51" t="n"/>
      <c r="K963" s="51" t="n"/>
      <c r="N963" s="51" t="n"/>
      <c r="P963" s="51" t="n"/>
      <c r="Q963" s="51" t="n"/>
    </row>
    <row r="964">
      <c r="B964" s="59" t="n"/>
      <c r="D964" s="51" t="n"/>
      <c r="I964" s="51" t="n"/>
      <c r="J964" s="51" t="n"/>
      <c r="K964" s="51" t="n"/>
      <c r="N964" s="51" t="n"/>
      <c r="P964" s="51" t="n"/>
      <c r="Q964" s="51" t="n"/>
    </row>
    <row r="965">
      <c r="B965" s="59" t="n"/>
      <c r="D965" s="51" t="n"/>
      <c r="I965" s="51" t="n"/>
      <c r="J965" s="51" t="n"/>
      <c r="K965" s="51" t="n"/>
      <c r="N965" s="51" t="n"/>
      <c r="P965" s="51" t="n"/>
      <c r="Q965" s="51" t="n"/>
    </row>
    <row r="966">
      <c r="B966" s="59" t="n"/>
      <c r="D966" s="51" t="n"/>
      <c r="I966" s="51" t="n"/>
      <c r="J966" s="51" t="n"/>
      <c r="K966" s="51" t="n"/>
      <c r="N966" s="51" t="n"/>
      <c r="P966" s="51" t="n"/>
      <c r="Q966" s="51" t="n"/>
    </row>
    <row r="967">
      <c r="B967" s="59" t="n"/>
      <c r="D967" s="51" t="n"/>
      <c r="I967" s="51" t="n"/>
      <c r="J967" s="51" t="n"/>
      <c r="K967" s="51" t="n"/>
      <c r="N967" s="51" t="n"/>
      <c r="P967" s="51" t="n"/>
      <c r="Q967" s="51" t="n"/>
    </row>
    <row r="968">
      <c r="B968" s="59" t="n"/>
      <c r="D968" s="51" t="n"/>
      <c r="I968" s="51" t="n"/>
      <c r="J968" s="51" t="n"/>
      <c r="K968" s="51" t="n"/>
      <c r="N968" s="51" t="n"/>
      <c r="P968" s="51" t="n"/>
      <c r="Q968" s="51" t="n"/>
    </row>
    <row r="969">
      <c r="B969" s="59" t="n"/>
      <c r="D969" s="51" t="n"/>
      <c r="I969" s="51" t="n"/>
      <c r="J969" s="51" t="n"/>
      <c r="K969" s="51" t="n"/>
      <c r="N969" s="51" t="n"/>
      <c r="P969" s="51" t="n"/>
      <c r="Q969" s="51" t="n"/>
    </row>
    <row r="970">
      <c r="B970" s="59" t="n"/>
      <c r="D970" s="51" t="n"/>
      <c r="I970" s="51" t="n"/>
      <c r="J970" s="51" t="n"/>
      <c r="K970" s="51" t="n"/>
      <c r="N970" s="51" t="n"/>
      <c r="P970" s="51" t="n"/>
      <c r="Q970" s="51" t="n"/>
    </row>
    <row r="971">
      <c r="B971" s="59" t="n"/>
      <c r="D971" s="51" t="n"/>
      <c r="I971" s="51" t="n"/>
      <c r="J971" s="51" t="n"/>
      <c r="K971" s="51" t="n"/>
      <c r="N971" s="51" t="n"/>
      <c r="P971" s="51" t="n"/>
      <c r="Q971" s="51" t="n"/>
    </row>
    <row r="972">
      <c r="B972" s="59" t="n"/>
      <c r="D972" s="51" t="n"/>
      <c r="I972" s="51" t="n"/>
      <c r="J972" s="51" t="n"/>
      <c r="K972" s="51" t="n"/>
      <c r="N972" s="51" t="n"/>
      <c r="P972" s="51" t="n"/>
      <c r="Q972" s="51" t="n"/>
    </row>
    <row r="973">
      <c r="B973" s="59" t="n"/>
      <c r="D973" s="51" t="n"/>
      <c r="I973" s="51" t="n"/>
      <c r="J973" s="51" t="n"/>
      <c r="K973" s="51" t="n"/>
      <c r="N973" s="51" t="n"/>
      <c r="P973" s="51" t="n"/>
      <c r="Q973" s="51" t="n"/>
    </row>
    <row r="974">
      <c r="B974" s="59" t="n"/>
      <c r="D974" s="51" t="n"/>
      <c r="I974" s="51" t="n"/>
      <c r="J974" s="51" t="n"/>
      <c r="K974" s="51" t="n"/>
      <c r="N974" s="51" t="n"/>
      <c r="P974" s="51" t="n"/>
      <c r="Q974" s="51" t="n"/>
    </row>
    <row r="975">
      <c r="B975" s="59" t="n"/>
      <c r="D975" s="51" t="n"/>
      <c r="I975" s="51" t="n"/>
      <c r="J975" s="51" t="n"/>
      <c r="K975" s="51" t="n"/>
      <c r="N975" s="51" t="n"/>
      <c r="P975" s="51" t="n"/>
      <c r="Q975" s="51" t="n"/>
    </row>
    <row r="976">
      <c r="B976" s="59" t="n"/>
      <c r="D976" s="51" t="n"/>
      <c r="I976" s="51" t="n"/>
      <c r="J976" s="51" t="n"/>
      <c r="K976" s="51" t="n"/>
      <c r="N976" s="51" t="n"/>
      <c r="P976" s="51" t="n"/>
      <c r="Q976" s="51" t="n"/>
    </row>
    <row r="977">
      <c r="B977" s="59" t="n"/>
      <c r="D977" s="51" t="n"/>
      <c r="I977" s="51" t="n"/>
      <c r="J977" s="51" t="n"/>
      <c r="K977" s="51" t="n"/>
      <c r="N977" s="51" t="n"/>
      <c r="P977" s="51" t="n"/>
      <c r="Q977" s="51" t="n"/>
    </row>
    <row r="978">
      <c r="B978" s="59" t="n"/>
      <c r="D978" s="51" t="n"/>
      <c r="I978" s="51" t="n"/>
      <c r="J978" s="51" t="n"/>
      <c r="K978" s="51" t="n"/>
      <c r="N978" s="51" t="n"/>
      <c r="P978" s="51" t="n"/>
      <c r="Q978" s="51" t="n"/>
    </row>
    <row r="979">
      <c r="B979" s="59" t="n"/>
      <c r="D979" s="51" t="n"/>
      <c r="I979" s="51" t="n"/>
      <c r="J979" s="51" t="n"/>
      <c r="K979" s="51" t="n"/>
      <c r="N979" s="51" t="n"/>
      <c r="P979" s="51" t="n"/>
      <c r="Q979" s="51" t="n"/>
    </row>
    <row r="980">
      <c r="B980" s="59" t="n"/>
      <c r="D980" s="51" t="n"/>
      <c r="I980" s="51" t="n"/>
      <c r="J980" s="51" t="n"/>
      <c r="K980" s="51" t="n"/>
      <c r="N980" s="51" t="n"/>
      <c r="P980" s="51" t="n"/>
      <c r="Q980" s="51" t="n"/>
    </row>
    <row r="981">
      <c r="B981" s="59" t="n"/>
      <c r="D981" s="51" t="n"/>
      <c r="I981" s="51" t="n"/>
      <c r="J981" s="51" t="n"/>
      <c r="K981" s="51" t="n"/>
      <c r="N981" s="51" t="n"/>
      <c r="P981" s="51" t="n"/>
      <c r="Q981" s="51" t="n"/>
    </row>
    <row r="982">
      <c r="B982" s="59" t="n"/>
      <c r="D982" s="51" t="n"/>
      <c r="I982" s="51" t="n"/>
      <c r="J982" s="51" t="n"/>
      <c r="K982" s="51" t="n"/>
      <c r="N982" s="51" t="n"/>
      <c r="P982" s="51" t="n"/>
      <c r="Q982" s="51" t="n"/>
    </row>
    <row r="983">
      <c r="B983" s="59" t="n"/>
      <c r="D983" s="51" t="n"/>
      <c r="I983" s="51" t="n"/>
      <c r="J983" s="51" t="n"/>
      <c r="K983" s="51" t="n"/>
      <c r="N983" s="51" t="n"/>
      <c r="P983" s="51" t="n"/>
      <c r="Q983" s="51" t="n"/>
    </row>
    <row r="984">
      <c r="B984" s="59" t="n"/>
      <c r="D984" s="51" t="n"/>
      <c r="I984" s="51" t="n"/>
      <c r="J984" s="51" t="n"/>
      <c r="K984" s="51" t="n"/>
      <c r="N984" s="51" t="n"/>
      <c r="P984" s="51" t="n"/>
      <c r="Q984" s="51" t="n"/>
    </row>
    <row r="985">
      <c r="B985" s="59" t="n"/>
      <c r="D985" s="51" t="n"/>
      <c r="I985" s="51" t="n"/>
      <c r="J985" s="51" t="n"/>
      <c r="K985" s="51" t="n"/>
      <c r="N985" s="51" t="n"/>
      <c r="P985" s="51" t="n"/>
      <c r="Q985" s="51" t="n"/>
    </row>
    <row r="986">
      <c r="B986" s="59" t="n"/>
      <c r="D986" s="51" t="n"/>
      <c r="I986" s="51" t="n"/>
      <c r="J986" s="51" t="n"/>
      <c r="K986" s="51" t="n"/>
      <c r="N986" s="51" t="n"/>
      <c r="P986" s="51" t="n"/>
      <c r="Q986" s="51" t="n"/>
    </row>
    <row r="987">
      <c r="B987" s="59" t="n"/>
      <c r="D987" s="51" t="n"/>
      <c r="I987" s="51" t="n"/>
      <c r="J987" s="51" t="n"/>
      <c r="K987" s="51" t="n"/>
      <c r="N987" s="51" t="n"/>
      <c r="P987" s="51" t="n"/>
      <c r="Q987" s="51" t="n"/>
    </row>
    <row r="988">
      <c r="B988" s="59" t="n"/>
      <c r="D988" s="51" t="n"/>
      <c r="I988" s="51" t="n"/>
      <c r="J988" s="51" t="n"/>
      <c r="K988" s="51" t="n"/>
      <c r="N988" s="51" t="n"/>
      <c r="P988" s="51" t="n"/>
      <c r="Q988" s="51" t="n"/>
    </row>
    <row r="989">
      <c r="B989" s="59" t="n"/>
      <c r="D989" s="51" t="n"/>
      <c r="I989" s="51" t="n"/>
      <c r="J989" s="51" t="n"/>
      <c r="K989" s="51" t="n"/>
      <c r="N989" s="51" t="n"/>
      <c r="P989" s="51" t="n"/>
      <c r="Q989" s="51" t="n"/>
    </row>
    <row r="990">
      <c r="B990" s="59" t="n"/>
      <c r="D990" s="51" t="n"/>
      <c r="I990" s="51" t="n"/>
      <c r="J990" s="51" t="n"/>
      <c r="K990" s="51" t="n"/>
      <c r="N990" s="51" t="n"/>
      <c r="P990" s="51" t="n"/>
      <c r="Q990" s="51" t="n"/>
    </row>
    <row r="991">
      <c r="B991" s="59" t="n"/>
      <c r="D991" s="51" t="n"/>
      <c r="I991" s="51" t="n"/>
      <c r="J991" s="51" t="n"/>
      <c r="K991" s="51" t="n"/>
      <c r="N991" s="51" t="n"/>
      <c r="P991" s="51" t="n"/>
      <c r="Q991" s="51" t="n"/>
    </row>
    <row r="992">
      <c r="B992" s="59" t="n"/>
      <c r="D992" s="51" t="n"/>
      <c r="I992" s="51" t="n"/>
      <c r="J992" s="51" t="n"/>
      <c r="K992" s="51" t="n"/>
      <c r="N992" s="51" t="n"/>
      <c r="P992" s="51" t="n"/>
      <c r="Q992" s="51" t="n"/>
    </row>
    <row r="993">
      <c r="B993" s="59" t="n"/>
      <c r="D993" s="51" t="n"/>
      <c r="I993" s="51" t="n"/>
      <c r="J993" s="51" t="n"/>
      <c r="K993" s="51" t="n"/>
      <c r="N993" s="51" t="n"/>
      <c r="P993" s="51" t="n"/>
      <c r="Q993" s="51" t="n"/>
    </row>
    <row r="994">
      <c r="B994" s="59" t="n"/>
      <c r="D994" s="51" t="n"/>
      <c r="I994" s="51" t="n"/>
      <c r="J994" s="51" t="n"/>
      <c r="K994" s="51" t="n"/>
      <c r="N994" s="51" t="n"/>
      <c r="P994" s="51" t="n"/>
      <c r="Q994" s="51" t="n"/>
    </row>
    <row r="995">
      <c r="B995" s="59" t="n"/>
      <c r="D995" s="51" t="n"/>
      <c r="I995" s="51" t="n"/>
      <c r="J995" s="51" t="n"/>
      <c r="K995" s="51" t="n"/>
      <c r="N995" s="51" t="n"/>
      <c r="P995" s="51" t="n"/>
      <c r="Q995" s="51" t="n"/>
    </row>
    <row r="996">
      <c r="B996" s="59" t="n"/>
      <c r="D996" s="51" t="n"/>
      <c r="I996" s="51" t="n"/>
      <c r="J996" s="51" t="n"/>
      <c r="K996" s="51" t="n"/>
      <c r="N996" s="51" t="n"/>
      <c r="P996" s="51" t="n"/>
      <c r="Q996" s="51" t="n"/>
    </row>
    <row r="997">
      <c r="B997" s="59" t="n"/>
      <c r="D997" s="51" t="n"/>
      <c r="I997" s="51" t="n"/>
      <c r="J997" s="51" t="n"/>
      <c r="K997" s="51" t="n"/>
      <c r="N997" s="51" t="n"/>
      <c r="P997" s="51" t="n"/>
      <c r="Q997" s="51" t="n"/>
    </row>
    <row r="998">
      <c r="B998" s="59" t="n"/>
      <c r="D998" s="51" t="n"/>
      <c r="I998" s="51" t="n"/>
      <c r="J998" s="51" t="n"/>
      <c r="K998" s="51" t="n"/>
      <c r="N998" s="51" t="n"/>
      <c r="P998" s="51" t="n"/>
      <c r="Q998" s="51" t="n"/>
    </row>
    <row r="999">
      <c r="B999" s="59" t="n"/>
      <c r="D999" s="51" t="n"/>
      <c r="I999" s="51" t="n"/>
      <c r="J999" s="51" t="n"/>
      <c r="K999" s="51" t="n"/>
      <c r="N999" s="51" t="n"/>
      <c r="P999" s="51" t="n"/>
      <c r="Q999" s="51" t="n"/>
    </row>
    <row r="1000">
      <c r="B1000" s="59" t="n"/>
      <c r="D1000" s="51" t="n"/>
      <c r="I1000" s="51" t="n"/>
      <c r="J1000" s="51" t="n"/>
      <c r="K1000" s="51" t="n"/>
      <c r="N1000" s="51" t="n"/>
      <c r="P1000" s="51" t="n"/>
      <c r="Q1000" s="51" t="n"/>
    </row>
    <row r="1001">
      <c r="B1001" s="59" t="n"/>
      <c r="D1001" s="51" t="n"/>
      <c r="I1001" s="51" t="n"/>
      <c r="J1001" s="51" t="n"/>
      <c r="K1001" s="51" t="n"/>
      <c r="N1001" s="51" t="n"/>
      <c r="P1001" s="51" t="n"/>
      <c r="Q1001" s="51" t="n"/>
    </row>
    <row r="1002">
      <c r="B1002" s="59" t="n"/>
      <c r="D1002" s="51" t="n"/>
      <c r="I1002" s="51" t="n"/>
      <c r="J1002" s="51" t="n"/>
      <c r="K1002" s="51" t="n"/>
      <c r="N1002" s="51" t="n"/>
      <c r="P1002" s="51" t="n"/>
      <c r="Q1002" s="51" t="n"/>
    </row>
    <row r="1003">
      <c r="B1003" s="59" t="n"/>
      <c r="D1003" s="51" t="n"/>
      <c r="I1003" s="51" t="n"/>
      <c r="J1003" s="51" t="n"/>
      <c r="K1003" s="51" t="n"/>
      <c r="N1003" s="51" t="n"/>
      <c r="P1003" s="51" t="n"/>
      <c r="Q1003" s="51" t="n"/>
    </row>
    <row r="1004">
      <c r="B1004" s="59" t="n"/>
      <c r="D1004" s="51" t="n"/>
      <c r="I1004" s="51" t="n"/>
      <c r="J1004" s="51" t="n"/>
      <c r="K1004" s="51" t="n"/>
      <c r="N1004" s="51" t="n"/>
      <c r="P1004" s="51" t="n"/>
      <c r="Q1004" s="5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G35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.75" customHeight="1"/>
  <cols>
    <col width="32" customWidth="1" style="128" min="1" max="1"/>
    <col width="8.880000000000001" customWidth="1" style="128" min="3" max="8"/>
    <col width="11.38" customWidth="1" style="128" min="9" max="9"/>
    <col width="8.880000000000001" customWidth="1" style="128" min="10" max="12"/>
    <col width="11.38" customWidth="1" style="128" min="13" max="13"/>
    <col width="8.880000000000001" customWidth="1" style="128" min="14" max="14"/>
    <col width="8.880000000000001" customWidth="1" style="128" min="16" max="17"/>
  </cols>
  <sheetData>
    <row r="1">
      <c r="A1" s="71" t="n"/>
      <c r="B1" s="71" t="inlineStr">
        <is>
          <t>Średnia oceniania</t>
        </is>
      </c>
      <c r="C1" s="71" t="inlineStr">
        <is>
          <t>Xero</t>
        </is>
      </c>
      <c r="D1" s="71" t="inlineStr">
        <is>
          <t>Kacper</t>
        </is>
      </c>
      <c r="E1" s="71" t="inlineStr">
        <is>
          <t>Oskar</t>
        </is>
      </c>
      <c r="F1" s="71" t="inlineStr">
        <is>
          <t>Marta</t>
        </is>
      </c>
      <c r="G1" s="71" t="inlineStr">
        <is>
          <t>Kaja</t>
        </is>
      </c>
      <c r="H1" s="71" t="inlineStr">
        <is>
          <t>Ola S</t>
        </is>
      </c>
      <c r="I1" s="71" t="inlineStr">
        <is>
          <t>Rafał</t>
        </is>
      </c>
      <c r="J1" s="71" t="inlineStr">
        <is>
          <t>2K</t>
        </is>
      </c>
      <c r="K1" s="71" t="inlineStr">
        <is>
          <t>Karolina</t>
        </is>
      </c>
      <c r="L1" s="71" t="inlineStr">
        <is>
          <t>Ania 5</t>
        </is>
      </c>
      <c r="M1" s="71" t="inlineStr">
        <is>
          <t>Alicja</t>
        </is>
      </c>
      <c r="N1" s="71" t="inlineStr">
        <is>
          <t>Robercik</t>
        </is>
      </c>
      <c r="O1" s="71" t="inlineStr">
        <is>
          <t>Marika Matsumoto</t>
        </is>
      </c>
      <c r="P1" s="71" t="inlineStr">
        <is>
          <t>Lokejtor</t>
        </is>
      </c>
      <c r="Q1" s="71" t="inlineStr">
        <is>
          <t>Kinga</t>
        </is>
      </c>
      <c r="R1" s="71" t="inlineStr">
        <is>
          <t>Yuri</t>
        </is>
      </c>
      <c r="S1" s="71" t="inlineStr">
        <is>
          <t>Cheetos</t>
        </is>
      </c>
      <c r="T1" s="71" t="inlineStr">
        <is>
          <t>Ostróda</t>
        </is>
      </c>
      <c r="U1" s="71" t="inlineStr">
        <is>
          <t>Wiku</t>
        </is>
      </c>
      <c r="V1" s="71" t="inlineStr">
        <is>
          <t>E-Iza</t>
        </is>
      </c>
      <c r="W1" s="71" t="inlineStr">
        <is>
          <t>Kuba</t>
        </is>
      </c>
      <c r="X1" s="71" t="inlineStr">
        <is>
          <t>Ania 1</t>
        </is>
      </c>
      <c r="Y1" s="71" t="inlineStr">
        <is>
          <t>Klaudia</t>
        </is>
      </c>
      <c r="Z1" s="71" t="inlineStr">
        <is>
          <t>Mateusz</t>
        </is>
      </c>
      <c r="AA1" s="71" t="inlineStr">
        <is>
          <t>Martyna</t>
        </is>
      </c>
      <c r="AB1" s="71" t="inlineStr">
        <is>
          <t>Radek</t>
        </is>
      </c>
      <c r="AC1" s="71" t="inlineStr">
        <is>
          <t>Bartuś</t>
        </is>
      </c>
      <c r="AD1" s="71" t="inlineStr">
        <is>
          <t>Renata</t>
        </is>
      </c>
      <c r="AE1" s="71" t="inlineStr">
        <is>
          <t>Malina</t>
        </is>
      </c>
      <c r="AF1" s="71" t="inlineStr">
        <is>
          <t>ile osob</t>
        </is>
      </c>
      <c r="AG1" s="64" t="inlineStr">
        <is>
          <t>Średnia filmów</t>
        </is>
      </c>
    </row>
    <row r="2">
      <c r="A2" s="68" t="n"/>
      <c r="B2" s="66">
        <f>IFERROR(ROUND(AVERAGE(C2:AE2),2),"")</f>
        <v/>
      </c>
      <c r="C2" s="67">
        <f>IFERROR(ROUND(AVERAGE(C5:C102),2),"")</f>
        <v/>
      </c>
      <c r="D2" s="67">
        <f>IFERROR(ROUND(AVERAGE(D5:D102),2),"")</f>
        <v/>
      </c>
      <c r="E2" s="67">
        <f>IFERROR(ROUND(AVERAGE(E5:E102),2),"")</f>
        <v/>
      </c>
      <c r="F2" s="67">
        <f>IFERROR(ROUND(AVERAGE(F5:F102),2),"")</f>
        <v/>
      </c>
      <c r="G2" s="67">
        <f>IFERROR(ROUND(AVERAGE(G5:G102),2),"")</f>
        <v/>
      </c>
      <c r="H2" s="67">
        <f>IFERROR(ROUND(AVERAGE(H5:H102),2),"")</f>
        <v/>
      </c>
      <c r="I2" s="67">
        <f>IFERROR(ROUND(AVERAGE(I5:I102),2),"")</f>
        <v/>
      </c>
      <c r="J2" s="67">
        <f>IFERROR(ROUND(AVERAGE(J5:J102),2),"")</f>
        <v/>
      </c>
      <c r="K2" s="67">
        <f>IFERROR(ROUND(AVERAGE(K5:K102),2),"")</f>
        <v/>
      </c>
      <c r="L2" s="67">
        <f>IFERROR(ROUND(AVERAGE(L5:L102),2),"")</f>
        <v/>
      </c>
      <c r="M2" s="67">
        <f>IFERROR(ROUND(AVERAGE(M5:M102),2),"")</f>
        <v/>
      </c>
      <c r="N2" s="67">
        <f>IFERROR(ROUND(AVERAGE(N5:N102),2),"")</f>
        <v/>
      </c>
      <c r="O2" s="67">
        <f>IFERROR(ROUND(AVERAGE(O5:O102),2),"")</f>
        <v/>
      </c>
      <c r="P2" s="67">
        <f>IFERROR(ROUND(AVERAGE(P5:P102),2),"")</f>
        <v/>
      </c>
      <c r="Q2" s="67">
        <f>IFERROR(ROUND(AVERAGE(Q5:Q102),2),"")</f>
        <v/>
      </c>
      <c r="R2" s="67">
        <f>IFERROR(ROUND(AVERAGE(R5:R102),2),"")</f>
        <v/>
      </c>
      <c r="S2" s="67">
        <f>IFERROR(ROUND(AVERAGE(S5:S102),2),"")</f>
        <v/>
      </c>
      <c r="T2" s="67">
        <f>IFERROR(ROUND(AVERAGE(T5:T102),2),"")</f>
        <v/>
      </c>
      <c r="U2" s="67">
        <f>IFERROR(ROUND(AVERAGE(U5:U102),2),"")</f>
        <v/>
      </c>
      <c r="V2" s="67">
        <f>IFERROR(ROUND(AVERAGE(V5:V102),2),"")</f>
        <v/>
      </c>
      <c r="W2" s="67">
        <f>IFERROR(ROUND(AVERAGE(W5:W102),2),"")</f>
        <v/>
      </c>
      <c r="X2" s="67">
        <f>IFERROR(ROUND(AVERAGE(X5:X102),2),"")</f>
        <v/>
      </c>
      <c r="Y2" s="67">
        <f>IFERROR(ROUND(AVERAGE(Y5:Y102),2),"")</f>
        <v/>
      </c>
      <c r="Z2" s="67">
        <f>IFERROR(ROUND(AVERAGE(Z5:Z102),2),"")</f>
        <v/>
      </c>
      <c r="AA2" s="67">
        <f>IFERROR(ROUND(AVERAGE(AA5:AA102),2),"")</f>
        <v/>
      </c>
      <c r="AB2" s="67">
        <f>IFERROR(ROUND(AVERAGE(AB5:AB102),2),"")</f>
        <v/>
      </c>
      <c r="AC2" s="67">
        <f>IFERROR(ROUND(AVERAGE(AC5:AC102),2),"")</f>
        <v/>
      </c>
      <c r="AD2" s="67">
        <f>IFERROR(ROUND(AVERAGE(AD5:AD102),2),"")</f>
        <v/>
      </c>
      <c r="AE2" s="67">
        <f>IFERROR(ROUND(AVERAGE(AE5:AE102),2),"")</f>
        <v/>
      </c>
      <c r="AF2" s="68">
        <f>AVERAGE(AF6:AF102)</f>
        <v/>
      </c>
      <c r="AG2" s="69">
        <f>IFERROR(ROUND(AVERAGE(B3:B102),2),"")</f>
        <v/>
      </c>
    </row>
    <row r="3">
      <c r="A3" s="71" t="inlineStr">
        <is>
          <t xml:space="preserve">Ilość obecności </t>
        </is>
      </c>
      <c r="B3" s="72" t="n"/>
      <c r="C3" s="71">
        <f>AND(COUNT(C5:C8),1) +  AND(COUNT(C10:C12),1) +  AND(COUNT(C14:C16),1) +  AND(COUNT(C18:C20),1) +  AND(COUNT(C22:C24),1) +  AND(COUNT(C26:C28),1) + AND(COUNT(C30:C32),1) + AND(COUNT(C34:C36),1) + AND(COUNT(C38:C40),1) + AND(COUNT(C42:C44),1) + AND(COUNT(C46:C48),1) + AND(COUNT(C50:C52),1) +AND(COUNT(C54:C56),1) + AND(COUNT(C58:C60),1) + AND(COUNT(C62:C64),1) +  AND(COUNT(C66:C68),1) + AND(COUNT(C71:C73),1) + AND(COUNT(C75:C77),1) + AND(COUNT(C79:C81),1) + AND(COUNT(C83:C85),1) + AND(COUNT(C87:C89),1) +  AND(COUNT(C91:C93),1) +  AND(COUNT(C95:C97),1) +  AND(COUNT(C99:C101),1)</f>
        <v/>
      </c>
      <c r="D3" s="71">
        <f>AND(COUNT(D5:D8),1) + AND(COUNT(D10:D12),1) + AND(COUNT(D14:D16),1) + AND(COUNT(D18:D20),1) + AND(COUNT(D22:D24),1) + AND(COUNT(D26:D28),1) + AND(COUNT(D30:D32),1) + AND(COUNT(D34:D36),1) + AND(COUNT(D38:D40),1) + AND(COUNT(D42:D44),1) + AND(COUNT(D46:D48),1) + AND(COUNT(D50:D52),1) +AND(COUNT(D54:D56),1) + AND(COUNT(D58:D60),1) + AND(COUNT(D62:D64),1) + AND(COUNT(D66:D68),1) + AND(COUNT(D71:D73),1) + AND(COUNT(D75:D77),1) + AND(COUNT(D79:D81),1) + AND(COUNT(D83:D85),1) + AND(COUNT(D87:D89),1) + AND(COUNT(D91:D93),1) + AND(COUNT(D95:D97),1) + AND(COUNT(D99:D101),1)</f>
        <v/>
      </c>
      <c r="E3" s="71">
        <f>AND(COUNT(E5:E8),1) + AND(COUNT(E10:E12),1) + AND(COUNT(E14:E16),1) + AND(COUNT(E18:E20),1) + AND(COUNT(E22:E24),1) + AND(COUNT(E26:E28),1) + AND(COUNT(E30:E32),1) + AND(COUNT(E34:E36),1) + AND(COUNT(E38:E40),1) + AND(COUNT(E42:E44),1) + AND(COUNT(E46:E48),1) + AND(COUNT(E50:E52),1) +AND(COUNT(E54:E56),1) + AND(COUNT(E58:E60),1) + AND(COUNT(E62:E64),1) + AND(COUNT(E66:E68),1) + AND(COUNT(E71:E73),1) + AND(COUNT(E75:E77),1) + AND(COUNT(E79:E81),1) + AND(COUNT(E83:E85),1) + AND(COUNT(E87:E89),1) + AND(COUNT(E91:E93),1) + AND(COUNT(E95:E97),1) + AND(COUNT(E99:E101),1)</f>
        <v/>
      </c>
      <c r="F3" s="71">
        <f>AND(COUNT(F5:F8),1) + AND(COUNT(F10:F12),1) + AND(COUNT(F14:F16),1) + AND(COUNT(F18:F20),1) + AND(COUNT(F22:F24),1) + AND(COUNT(F26:F28),1) + AND(COUNT(F30:F32),1) + AND(COUNT(F34:F36),1) + AND(COUNT(F38:F40),1) + AND(COUNT(F42:F44),1) + AND(COUNT(F46:F48),1) + AND(COUNT(F50:F52),1) +AND(COUNT(F54:F56),1) + AND(COUNT(F58:F60),1) + AND(COUNT(F62:F64),1) + AND(COUNT(F66:F68),1) + AND(COUNT(F71:F73),1) + AND(COUNT(F75:F77),1) + AND(COUNT(F79:F81),1) + AND(COUNT(F83:F85),1) + AND(COUNT(F87:F89),1) + AND(COUNT(F91:F93),1) + AND(COUNT(F95:F97),1) + AND(COUNT(F99:F101),1)</f>
        <v/>
      </c>
      <c r="G3" s="71">
        <f>AND(COUNT(G5:G8),1) + AND(COUNT(G10:G12),1) + AND(COUNT(G14:G16),1) + AND(COUNT(G18:G20),1) + AND(COUNT(G22:G24),1) + AND(COUNT(G26:G28),1) + AND(COUNT(G30:G32),1) + AND(COUNT(G34:G36),1) + AND(COUNT(G38:G40),1) + AND(COUNT(G42:G44),1) + AND(COUNT(G46:G48),1) + AND(COUNT(G50:G52),1) +AND(COUNT(G54:G56),1) + AND(COUNT(G58:G60),1) + AND(COUNT(G62:G64),1) + AND(COUNT(G66:G68),1) + AND(COUNT(G71:G73),1) + AND(COUNT(G75:G77),1) + AND(COUNT(G79:G81),1) + AND(COUNT(G83:G85),1) + AND(COUNT(G87:G89),1) + AND(COUNT(G91:G93),1) + AND(COUNT(G95:G97),1) + AND(COUNT(G99:G101),1)</f>
        <v/>
      </c>
      <c r="H3" s="71">
        <f>AND(COUNT(H5:H8),1) + AND(COUNT(H10:H12),1) + AND(COUNT(H14:H16),1) + AND(COUNT(H18:H20),1) + AND(COUNT(H22:H24),1) + AND(COUNT(H26:H28),1) + AND(COUNT(H30:H32),1) + AND(COUNT(H34:H36),1) + AND(COUNT(H38:H40),1) + AND(COUNT(H42:H44),1) + AND(COUNT(H46:H48),1) + AND(COUNT(H50:H52),1) +AND(COUNT(H54:H56),1) + AND(COUNT(H58:H60),1) + AND(COUNT(H62:H64),1) + AND(COUNT(H66:H68),1) + AND(COUNT(H71:H73),1) + AND(COUNT(H75:H77),1) + AND(COUNT(H79:H81),1) + AND(COUNT(H83:H85),1) + AND(COUNT(H87:H89),1) + AND(COUNT(H91:H93),1) + AND(COUNT(H95:H97),1) + AND(COUNT(H99:H101),1)</f>
        <v/>
      </c>
      <c r="I3" s="71">
        <f>AND(COUNT(I5:I8),1) + AND(COUNT(I10:I12),1) + AND(COUNT(I14:I16),1) + AND(COUNT(I18:I20),1) + AND(COUNT(I22:I24),1) + AND(COUNT(I26:I28),1) + AND(COUNT(I30:I32),1) + AND(COUNT(I34:I36),1) + AND(COUNT(I38:I40),1) + AND(COUNT(I42:I44),1) + AND(COUNT(I46:I48),1) + AND(COUNT(I50:I52),1) +AND(COUNT(I54:I56),1) + AND(COUNT(I58:I60),1) + AND(COUNT(I62:I64),1) + AND(COUNT(I66:I68),1) + AND(COUNT(I71:I73),1) + AND(COUNT(I75:I77),1) + AND(COUNT(I79:I81),1) + AND(COUNT(I83:I85),1) + AND(COUNT(I87:I89),1) + AND(COUNT(I91:I93),1) + AND(COUNT(I95:I97),1) + AND(COUNT(I99:I101),1)</f>
        <v/>
      </c>
      <c r="J3" s="71">
        <f>AND(COUNT(J5:J8),1) + AND(COUNT(J10:J12),1) + AND(COUNT(J14:J16),1) + AND(COUNT(J18:J20),1) + AND(COUNT(J22:J24),1) + AND(COUNT(J26:J28),1) + AND(COUNT(J30:J32),1) + AND(COUNT(J34:J36),1) + AND(COUNT(J38:J40),1) + AND(COUNT(J42:J44),1) + AND(COUNT(J46:J48),1) + AND(COUNT(J50:J52),1) +AND(COUNT(J54:J56),1) + AND(COUNT(J58:J60),1) + AND(COUNT(J62:J64),1) + AND(COUNT(J66:J68),1) + AND(COUNT(J71:J73),1) + AND(COUNT(J75:J77),1) + AND(COUNT(J79:J81),1) + AND(COUNT(J83:J85),1) + AND(COUNT(J87:J89),1) + AND(COUNT(J91:J93),1) + AND(COUNT(J95:J97),1) + AND(COUNT(J99:J101),1)</f>
        <v/>
      </c>
      <c r="K3" s="71">
        <f>AND(COUNT(K5:K8),1) + AND(COUNT(K10:K12),1) + AND(COUNT(K14:K16),1) + AND(COUNT(K18:K20),1) + AND(COUNT(K22:K24),1) + AND(COUNT(K26:K28),1) + AND(COUNT(K30:K32),1) + AND(COUNT(K34:K36),1) + AND(COUNT(K38:K40),1) + AND(COUNT(K42:K44),1) + AND(COUNT(K46:K48),1) + AND(COUNT(K50:K52),1) +AND(COUNT(K54:K56),1) + AND(COUNT(K58:K60),1) + AND(COUNT(K62:K64),1) + AND(COUNT(K66:K68),1) + AND(COUNT(K71:K73),1) + AND(COUNT(K75:K77),1) + AND(COUNT(K79:K81),1) + AND(COUNT(K83:K85),1) + AND(COUNT(K87:K89),1) + AND(COUNT(K91:K93),1) + AND(COUNT(K95:K97),1) + AND(COUNT(K99:K101),1)</f>
        <v/>
      </c>
      <c r="L3" s="71">
        <f>AND(COUNT(L5:L8),1) + AND(COUNT(L10:L12),1) + AND(COUNT(L14:L16),1) + AND(COUNT(L18:L20),1) + AND(COUNT(L22:L24),1) + AND(COUNT(L26:L28),1) + AND(COUNT(L30:L32),1) + AND(COUNT(L34:L36),1) + AND(COUNT(L38:L40),1) + AND(COUNT(L42:L44),1) + AND(COUNT(L46:L48),1) + AND(COUNT(L50:L52),1) +AND(COUNT(L54:L56),1) + AND(COUNT(L58:L60),1) + AND(COUNT(L62:L64),1) + AND(COUNT(L66:L68),1) + AND(COUNT(L71:L73),1) + AND(COUNT(L75:L77),1) + AND(COUNT(L79:L81),1) + AND(COUNT(L83:L85),1) + AND(COUNT(L87:L89),1) + AND(COUNT(L91:L93),1) + AND(COUNT(L95:L97),1) + AND(COUNT(L99:L101),1)</f>
        <v/>
      </c>
      <c r="M3" s="71">
        <f>AND(COUNT(M5:M8),1) + AND(COUNT(M10:M12),1) + AND(COUNT(M14:M16),1) + AND(COUNT(M18:M20),1) + AND(COUNT(M22:M24),1) + AND(COUNT(M26:M28),1) + AND(COUNT(M30:M32),1) + AND(COUNT(M34:M36),1) + AND(COUNT(M38:M40),1) + AND(COUNT(M42:M44),1) + AND(COUNT(M46:M48),1) + AND(COUNT(M50:M52),1) +AND(COUNT(M54:M56),1) + AND(COUNT(M58:M60),1) + AND(COUNT(M62:M64),1) + AND(COUNT(M66:M68),1) + AND(COUNT(M71:M73),1) + AND(COUNT(M75:M77),1) + AND(COUNT(M79:M81),1) + AND(COUNT(M83:M85),1) + AND(COUNT(M87:M89),1) + AND(COUNT(M91:M93),1) + AND(COUNT(M95:M97),1) + AND(COUNT(M99:M101),1)</f>
        <v/>
      </c>
      <c r="N3" s="71">
        <f>AND(COUNT(N5:N8),1) + AND(COUNT(N10:N12),1) + AND(COUNT(N14:N16),1) + AND(COUNT(N18:N20),1) + AND(COUNT(N22:N24),1) + AND(COUNT(N26:N28),1) + AND(COUNT(N30:N32),1) + AND(COUNT(N34:N36),1) + AND(COUNT(N38:N40),1) + AND(COUNT(N42:N44),1) + AND(COUNT(N46:N48),1) + AND(COUNT(N50:N52),1) +AND(COUNT(N54:N56),1) + AND(COUNT(N58:N60),1) + AND(COUNT(N62:N64),1) + AND(COUNT(N66:N68),1) + AND(COUNT(N71:N73),1) + AND(COUNT(N75:N77),1) + AND(COUNT(N79:N81),1) + AND(COUNT(N83:N85),1) + AND(COUNT(N87:N89),1) + AND(COUNT(N91:N93),1) + AND(COUNT(N95:N97),1) + AND(COUNT(N99:N101),1)</f>
        <v/>
      </c>
      <c r="O3" s="71">
        <f>AND(COUNT(O5:O8),1) + AND(COUNT(O10:O12),1) + AND(COUNT(O14:O16),1) + AND(COUNT(O18:O20),1) + AND(COUNT(O22:O24),1) + AND(COUNT(O26:O28),1) + AND(COUNT(O30:O32),1) + AND(COUNT(O34:O36),1) + AND(COUNT(O38:O40),1) + AND(COUNT(O42:O44),1) + AND(COUNT(O46:O48),1) + AND(COUNT(O50:O52),1) +AND(COUNT(O54:O56),1) + AND(COUNT(O58:O60),1) + AND(COUNT(O62:O64),1) + AND(COUNT(O66:O68),1) + AND(COUNT(O71:O73),1) + AND(COUNT(O75:O77),1) + AND(COUNT(O79:O81),1) + AND(COUNT(O83:O85),1) + AND(COUNT(O87:O89),1) + AND(COUNT(O91:O93),1) + AND(COUNT(O95:O97),1) + AND(COUNT(O99:O101),1)</f>
        <v/>
      </c>
      <c r="P3" s="71">
        <f>AND(COUNT(P5:P8),1) + AND(COUNT(P10:P12),1) + AND(COUNT(P14:P16),1) + AND(COUNT(P18:P20),1) + AND(COUNT(P22:P24),1) + AND(COUNT(P26:P28),1) + AND(COUNT(P30:P32),1) + AND(COUNT(P34:P36),1) + AND(COUNT(P38:P40),1) + AND(COUNT(P42:P44),1) + AND(COUNT(P46:P48),1) + AND(COUNT(P50:P52),1) +AND(COUNT(P54:P56),1) + AND(COUNT(P58:P60),1) + AND(COUNT(P62:P64),1) + AND(COUNT(P66:P68),1) + AND(COUNT(P71:P73),1) + AND(COUNT(P75:P77),1) + AND(COUNT(P79:P81),1) + AND(COUNT(P83:P85),1) + AND(COUNT(P87:P89),1) + AND(COUNT(P91:P93),1) + AND(COUNT(P95:P97),1) + AND(COUNT(P99:P101),1)</f>
        <v/>
      </c>
      <c r="Q3" s="71">
        <f>AND(COUNT(Q5:Q8),1) + AND(COUNT(Q10:Q12),1) + AND(COUNT(Q14:Q16),1) + AND(COUNT(Q18:Q20),1) + AND(COUNT(Q22:Q24),1) + AND(COUNT(Q26:Q28),1) + AND(COUNT(Q30:Q32),1) + AND(COUNT(Q34:Q36),1) + AND(COUNT(Q38:Q40),1) + AND(COUNT(Q42:Q44),1) + AND(COUNT(Q46:Q48),1) + AND(COUNT(Q50:Q52),1) +AND(COUNT(Q54:Q56),1) + AND(COUNT(Q58:Q60),1) + AND(COUNT(Q62:Q64),1) + AND(COUNT(Q66:Q68),1) + AND(COUNT(Q71:Q73),1) + AND(COUNT(Q75:Q77),1) + AND(COUNT(Q79:Q81),1) + AND(COUNT(Q83:Q85),1) + AND(COUNT(Q87:Q89),1) + AND(COUNT(Q91:Q93),1) + AND(COUNT(Q95:Q97),1) + AND(COUNT(Q99:Q101),1)</f>
        <v/>
      </c>
      <c r="R3" s="71">
        <f>AND(COUNT(R5:R8),1) + AND(COUNT(R10:R12),1) + AND(COUNT(R14:R16),1) + AND(COUNT(R18:R20),1) + AND(COUNT(R22:R24),1) + AND(COUNT(R26:R28),1) + AND(COUNT(R30:R32),1) + AND(COUNT(R34:R36),1) + AND(COUNT(R38:R40),1) + AND(COUNT(R42:R44),1) + AND(COUNT(R46:R48),1) + AND(COUNT(R50:R52),1) +AND(COUNT(R54:R56),1) + AND(COUNT(R58:R60),1) + AND(COUNT(R62:R64),1) + AND(COUNT(R66:R68),1) + AND(COUNT(R71:R73),1) + AND(COUNT(R75:R77),1) + AND(COUNT(R79:R81),1) + AND(COUNT(R83:R85),1) + AND(COUNT(R87:R89),1) + AND(COUNT(R91:R93),1) + AND(COUNT(R95:R97),1) + AND(COUNT(R99:R101),1)</f>
        <v/>
      </c>
      <c r="S3" s="71">
        <f>AND(COUNT(S5:S8),1) + AND(COUNT(S10:S12),1) + AND(COUNT(S14:S16),1) + AND(COUNT(S18:S20),1) + AND(COUNT(S22:S24),1) + AND(COUNT(S26:S28),1) + AND(COUNT(S30:S32),1) + AND(COUNT(S34:S36),1) + AND(COUNT(S38:S40),1) + AND(COUNT(S42:S44),1) + AND(COUNT(S46:S48),1) + AND(COUNT(S50:S52),1) +AND(COUNT(S54:S56),1) + AND(COUNT(S58:S60),1) + AND(COUNT(S62:S64),1) + AND(COUNT(S66:S68),1) + AND(COUNT(S71:S73),1) + AND(COUNT(S75:S77),1) + AND(COUNT(S79:S81),1) + AND(COUNT(S83:S85),1) + AND(COUNT(S87:S89),1) + AND(COUNT(S91:S93),1) + AND(COUNT(S95:S97),1) + AND(COUNT(S99:S101),1)</f>
        <v/>
      </c>
      <c r="T3" s="71">
        <f>AND(COUNT(T5:T8),1) + AND(COUNT(T10:T12),1) + AND(COUNT(T14:T16),1) + AND(COUNT(T18:T20),1) + AND(COUNT(T22:T24),1) + AND(COUNT(T26:T28),1) + AND(COUNT(T30:T32),1) + AND(COUNT(T34:T36),1) + AND(COUNT(T38:T40),1) + AND(COUNT(T42:T44),1) + AND(COUNT(T46:T48),1) + AND(COUNT(T50:T52),1) +AND(COUNT(T54:T56),1) + AND(COUNT(T58:T60),1) + AND(COUNT(T62:T64),1) + AND(COUNT(T66:T68),1) + AND(COUNT(T71:T73),1) + AND(COUNT(T75:T77),1) + AND(COUNT(T79:T81),1) + AND(COUNT(T83:T85),1) + AND(COUNT(T87:T89),1) + AND(COUNT(T91:T93),1) + AND(COUNT(T95:T97),1) + AND(COUNT(T99:T101),1)</f>
        <v/>
      </c>
      <c r="U3" s="71">
        <f>AND(COUNT(U5:U8),1) + AND(COUNT(U10:U12),1) + AND(COUNT(U14:U16),1) + AND(COUNT(U18:U20),1) + AND(COUNT(U22:U24),1) + AND(COUNT(U26:U28),1) + AND(COUNT(U30:U32),1) + AND(COUNT(U34:U36),1) + AND(COUNT(U38:U40),1) + AND(COUNT(U42:U44),1) + AND(COUNT(U46:U48),1) + AND(COUNT(U50:U52),1) +AND(COUNT(U54:U56),1) + AND(COUNT(U58:U60),1) + AND(COUNT(U62:U64),1) + AND(COUNT(U66:U68),1) + AND(COUNT(U71:U73),1) + AND(COUNT(U75:U77),1) + AND(COUNT(U79:U81),1) + AND(COUNT(U83:U85),1) + AND(COUNT(U87:U89),1) + AND(COUNT(U91:U93),1) + AND(COUNT(U95:U97),1) + AND(COUNT(U99:U101),1)</f>
        <v/>
      </c>
      <c r="V3" s="71">
        <f>AND(COUNT(V5:V8),1) + AND(COUNT(V10:V12),1) + AND(COUNT(V14:V16),1) + AND(COUNT(V18:V20),1) + AND(COUNT(V22:V24),1) + AND(COUNT(V26:V28),1) + AND(COUNT(V30:V32),1) + AND(COUNT(V34:V36),1) + AND(COUNT(V38:V40),1) + AND(COUNT(V42:V44),1) + AND(COUNT(V46:V48),1) + AND(COUNT(V50:V52),1) +AND(COUNT(V54:V56),1) + AND(COUNT(V58:V60),1) + AND(COUNT(V62:V64),1) + AND(COUNT(V66:V68),1) + AND(COUNT(V71:V73),1) + AND(COUNT(V75:V77),1) + AND(COUNT(V79:V81),1) + AND(COUNT(V83:V85),1) + AND(COUNT(V87:V89),1) + AND(COUNT(V91:V93),1) + AND(COUNT(V95:V97),1) + AND(COUNT(V99:V101),1)</f>
        <v/>
      </c>
      <c r="W3" s="71">
        <f>AND(COUNT(W5:W8),1) + AND(COUNT(W10:W12),1) + AND(COUNT(W14:W16),1) + AND(COUNT(W18:W20),1) + AND(COUNT(W22:W24),1) + AND(COUNT(W26:W28),1) + AND(COUNT(W30:W32),1) + AND(COUNT(W34:W36),1) + AND(COUNT(W38:W40),1) + AND(COUNT(W42:W44),1) + AND(COUNT(W46:W48),1) + AND(COUNT(W50:W52),1) +AND(COUNT(W54:W56),1) + AND(COUNT(W58:W60),1) + AND(COUNT(W62:W64),1) + AND(COUNT(W66:W68),1) + AND(COUNT(W71:W73),1) + AND(COUNT(W75:W77),1) + AND(COUNT(W79:W81),1) + AND(COUNT(W83:W85),1) + AND(COUNT(W87:W89),1) + AND(COUNT(W91:W93),1) + AND(COUNT(W95:W97),1) + AND(COUNT(W99:W101),1)</f>
        <v/>
      </c>
      <c r="X3" s="71" t="n"/>
      <c r="Y3" s="71">
        <f>AND(COUNT(Y5:Y8),1) +  AND(COUNT(Y10:Y12),1) +  AND(COUNT(Y14:Y16),1) +  AND(COUNT(Y18:Y20),1) +  AND(COUNT(Y22:Y24),1) +  AND(COUNT(Y26:Y28),1) + AND(COUNT(Y30:Y32),1) + AND(COUNT(Y34:Y36),1) + AND(COUNT(Y38:Y40),1) + AND(COUNT(Y42:Y44),1) + AND(COUNT(Y46:Y48),1) + AND(COUNT(Y50:Y52),1) +AND(COUNT(Y54:Y56),1) + AND(COUNT(Y58:Y60),1) + AND(COUNT(Y62:Y64),1) +  AND(COUNT(Y66:Y68),1) + AND(COUNT(Y71:Y73),1) + AND(COUNT(Y75:Y77),1) + AND(COUNT(Y79:Y81),1) + AND(COUNT(Y83:Y85),1) + AND(COUNT(Y87:Y89),1) +  AND(COUNT(Y91:Y93),1) +  AND(COUNT(Y95:Y97),1) +  AND(COUNT(Y99:Y101),1)</f>
        <v/>
      </c>
      <c r="Z3" s="71">
        <f>AND(COUNT(Z5:Z8),1) + AND(COUNT(Z10:Z12),1) + AND(COUNT(Z14:Z16),1) + AND(COUNT(Z18:Z20),1) + AND(COUNT(Z22:Z24),1) + AND(COUNT(Z26:Z28),1) + AND(COUNT(Z30:Z32),1) + AND(COUNT(Z34:Z36),1) + AND(COUNT(Z38:Z40),1) + AND(COUNT(Z42:Z44),1) + AND(COUNT(Z46:Z48),1) + AND(COUNT(Z50:Z52),1) +AND(COUNT(Z54:Z56),1) + AND(COUNT(Z58:Z60),1) + AND(COUNT(Z62:Z64),1) + AND(COUNT(Z66:Z68),1) + AND(COUNT(Z71:Z73),1) + AND(COUNT(Z75:Z77),1) + AND(COUNT(Z79:Z81),1) + AND(COUNT(Z83:Z85),1) + AND(COUNT(Z87:Z89),1) + AND(COUNT(Z91:Z93),1) + AND(COUNT(Z95:Z97),1) + AND(COUNT(Z99:Z101),1)</f>
        <v/>
      </c>
      <c r="AA3" s="71">
        <f>AND(COUNT(AA5:AA8),1) + AND(COUNT(AA10:AA12),1) + AND(COUNT(AA14:AA16),1) + AND(COUNT(AA18:AA20),1) + AND(COUNT(AA22:AA24),1) + AND(COUNT(AA26:AA28),1) + AND(COUNT(AA30:AA32),1) + AND(COUNT(AA34:AA36),1) + AND(COUNT(AA38:AA40),1) + AND(COUNT(AA42:AA44),1) + AND(COUNT(AA46:AA48),1) + AND(COUNT(AA50:AA52),1) +AND(COUNT(AA54:AA56),1) + AND(COUNT(AA58:AA60),1) + AND(COUNT(AA62:AA64),1) + AND(COUNT(AA66:AA68),1) + AND(COUNT(AA71:AA73),1) + AND(COUNT(AA75:AA77),1) + AND(COUNT(AA79:AA81),1) + AND(COUNT(AA83:AA85),1) + AND(COUNT(AA87:AA89),1) + AND(COUNT(AA91:AA93),1) + AND(COUNT(AA95:AA97),1) + AND(COUNT(AA99:AA101),1)</f>
        <v/>
      </c>
      <c r="AB3" s="71">
        <f>AND(COUNT(AB5:AB8),1) + AND(COUNT(AB10:AB12),1) + AND(COUNT(AB14:AB16),1) + AND(COUNT(AB18:AB20),1) + AND(COUNT(AB22:AB24),1) + AND(COUNT(AB26:AB28),1) + AND(COUNT(AB30:AB32),1) + AND(COUNT(AB34:AB36),1) + AND(COUNT(AB38:AB40),1) + AND(COUNT(AB42:AB44),1) + AND(COUNT(AB46:AB48),1) + AND(COUNT(AB50:AB52),1) +AND(COUNT(AB54:AB56),1) + AND(COUNT(AB58:AB60),1) + AND(COUNT(AB62:AB64),1) + AND(COUNT(AB66:AB68),1) + AND(COUNT(AB71:AB73),1) + AND(COUNT(AB75:AB77),1) + AND(COUNT(AB79:AB81),1) + AND(COUNT(AB83:AB85),1) + AND(COUNT(AB87:AB89),1) + AND(COUNT(AB91:AB93),1) + AND(COUNT(AB95:AB97),1) + AND(COUNT(AB99:AB101),1)</f>
        <v/>
      </c>
      <c r="AC3" s="71">
        <f>AND(COUNT(AC5:AC8),1) + AND(COUNT(AC10:AC12),1) + AND(COUNT(AC14:AC16),1) + AND(COUNT(AC18:AC20),1) + AND(COUNT(AC22:AC24),1) + AND(COUNT(AC26:AC28),1) + AND(COUNT(AC30:AC32),1) + AND(COUNT(AC34:AC36),1) + AND(COUNT(AC38:AC40),1) + AND(COUNT(AC42:AC44),1) + AND(COUNT(AC46:AC48),1) + AND(COUNT(AC50:AC52),1) +AND(COUNT(AC54:AC56),1) + AND(COUNT(AC58:AC60),1) + AND(COUNT(AC62:AC64),1) + AND(COUNT(AC66:AC68),1) + AND(COUNT(AC71:AC73),1) + AND(COUNT(AC75:AC77),1) + AND(COUNT(AC79:AC81),1) + AND(COUNT(AC83:AC85),1) + AND(COUNT(AC87:AC89),1) + AND(COUNT(AC91:AC93),1) + AND(COUNT(AC95:AC97),1) + AND(COUNT(AC99:AC101),1)</f>
        <v/>
      </c>
      <c r="AD3" s="71">
        <f>AND(COUNT(AD5:AD8),1) + AND(COUNT(AD10:AD12),1) + AND(COUNT(AD14:AD16),1) + AND(COUNT(AD18:AD20),1) + AND(COUNT(AD22:AD24),1) + AND(COUNT(AD26:AD28),1) + AND(COUNT(AD30:AD32),1) + AND(COUNT(AD34:AD36),1) + AND(COUNT(AD38:AD40),1) + AND(COUNT(AD42:AD44),1) + AND(COUNT(AD46:AD48),1) + AND(COUNT(AD50:AD52),1) +AND(COUNT(AD54:AD56),1) + AND(COUNT(AD58:AD60),1) + AND(COUNT(AD62:AD64),1) + AND(COUNT(AD66:AD68),1) + AND(COUNT(AD71:AD73),1) + AND(COUNT(AD75:AD77),1) + AND(COUNT(AD79:AD81),1) + AND(COUNT(AD83:AD85),1) + AND(COUNT(AD87:AD89),1) + AND(COUNT(AD91:AD93),1) + AND(COUNT(AD95:AD97),1) + AND(COUNT(AD99:AD101),1)</f>
        <v/>
      </c>
      <c r="AE3" s="71">
        <f>AND(COUNT(AE5:AE8),1) + AND(COUNT(AE10:AE12),1) + AND(COUNT(AE14:AE16),1) + AND(COUNT(AE18:AE20),1) + AND(COUNT(AE22:AE24),1) + AND(COUNT(AE26:AE28),1) + AND(COUNT(AE30:AE32),1) + AND(COUNT(AE34:AE36),1) + AND(COUNT(AE38:AE40),1) + AND(COUNT(AE42:AE44),1) + AND(COUNT(AE46:AE48),1) + AND(COUNT(AE50:AE52),1) +AND(COUNT(AE54:AE56),1) + AND(COUNT(AE58:AE60),1) + AND(COUNT(AE62:AE64),1) + AND(COUNT(AE66:AE68),1) + AND(COUNT(AE71:AE73),1) + AND(COUNT(AE75:AE77),1) + AND(COUNT(AE79:AE81),1) + AND(COUNT(AE83:AE85),1) + AND(COUNT(AE87:AE89),1) + AND(COUNT(AE91:AE93),1) + AND(COUNT(AE95:AE97),1) + AND(COUNT(AE99:AE101),1)</f>
        <v/>
      </c>
      <c r="AF3" s="71">
        <f>AND(COUNT(AF5:AF8),1) + AND(COUNT(AF10:AF12),1) + AND(COUNT(AF14:AF16),1) + AND(COUNT(AF18:AF20),1) + AND(COUNT(AF22:AF24),1) + AND(COUNT(AF26:AF28),1) + AND(COUNT(AF30:AF32),1) + AND(COUNT(AF34:AF36),1) + AND(COUNT(AF38:AF40),1) + AND(COUNT(AF42:AF44),1) + AND(COUNT(AF46:AF48),1) + AND(COUNT(AF50:AF52),1) +AND(COUNT(AF54:AF56),1) + AND(COUNT(AF58:AF60),1) + AND(COUNT(AF62:AF64),1) + AND(COUNT(AF66:AF68),1) + AND(COUNT(AF71:AF73),1) + AND(COUNT(AF75:AF77),1) + AND(COUNT(AF79:AF81),1) + AND(COUNT(AF83:AF85),1) + AND(COUNT(AF87:AF89),1) + AND(COUNT(AF91:AF93),1) + AND(COUNT(AF95:AF97),1) + AND(COUNT(AF99:AF101),1)</f>
        <v/>
      </c>
      <c r="AG3" s="71" t="n"/>
    </row>
    <row r="4">
      <c r="A4" s="71" t="inlineStr">
        <is>
          <t>Ilość obejrzanych filmów</t>
        </is>
      </c>
      <c r="B4" s="72" t="n"/>
      <c r="C4" s="71">
        <f>COUNT(C6:C151) </f>
        <v/>
      </c>
      <c r="D4" s="71">
        <f>COUNT(D6:D151) </f>
        <v/>
      </c>
      <c r="E4" s="71">
        <f>COUNT(E6:E151) </f>
        <v/>
      </c>
      <c r="F4" s="71">
        <f>COUNT(F6:F151) </f>
        <v/>
      </c>
      <c r="G4" s="71">
        <f>COUNT(G6:G151) </f>
        <v/>
      </c>
      <c r="H4" s="71">
        <f>COUNT(H6:H151) </f>
        <v/>
      </c>
      <c r="I4" s="71">
        <f>COUNT(I6:I151) </f>
        <v/>
      </c>
      <c r="J4" s="71">
        <f>COUNT(J6:J151) </f>
        <v/>
      </c>
      <c r="K4" s="71">
        <f>COUNT(K6:K151) </f>
        <v/>
      </c>
      <c r="L4" s="71">
        <f>COUNT(L6:L151) </f>
        <v/>
      </c>
      <c r="M4" s="71">
        <f>COUNT(M6:M151) </f>
        <v/>
      </c>
      <c r="N4" s="71">
        <f>COUNT(N6:N151) </f>
        <v/>
      </c>
      <c r="O4" s="71">
        <f>COUNT(O6:O151) </f>
        <v/>
      </c>
      <c r="P4" s="71">
        <f>COUNT(P6:P151) </f>
        <v/>
      </c>
      <c r="Q4" s="71">
        <f>COUNT(Q6:Q151) </f>
        <v/>
      </c>
      <c r="R4" s="71">
        <f>COUNT(R6:R151) </f>
        <v/>
      </c>
      <c r="S4" s="71">
        <f>COUNT(S6:S151) </f>
        <v/>
      </c>
      <c r="T4" s="71">
        <f>COUNT(T6:T151) </f>
        <v/>
      </c>
      <c r="U4" s="71">
        <f>COUNT(U6:U151) </f>
        <v/>
      </c>
      <c r="V4" s="71">
        <f>COUNT(V6:V151) </f>
        <v/>
      </c>
      <c r="W4" s="71">
        <f>COUNT(W6:W151) </f>
        <v/>
      </c>
      <c r="X4" s="71" t="n"/>
      <c r="Y4" s="71">
        <f>COUNT(Y6:Y151) </f>
        <v/>
      </c>
      <c r="Z4" s="71">
        <f>COUNT(Z6:Z151) </f>
        <v/>
      </c>
      <c r="AA4" s="71">
        <f>COUNT(AA6:AA151) </f>
        <v/>
      </c>
      <c r="AB4" s="71">
        <f>COUNT(AB6:AB151) </f>
        <v/>
      </c>
      <c r="AC4" s="71">
        <f>COUNT(AC6:AC151) </f>
        <v/>
      </c>
      <c r="AD4" s="71">
        <f>COUNT(AD6:AD151) </f>
        <v/>
      </c>
      <c r="AE4" s="71">
        <f>COUNT(AE6:AE151) </f>
        <v/>
      </c>
      <c r="AF4" s="71">
        <f>COUNT(AF6:AF151) - AF3</f>
        <v/>
      </c>
      <c r="AG4" s="71" t="n"/>
    </row>
    <row r="5">
      <c r="A5" s="75" t="n"/>
      <c r="B5" s="74" t="n"/>
      <c r="C5" s="75" t="n"/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4" t="n"/>
    </row>
    <row r="6">
      <c r="A6" s="75" t="inlineStr">
        <is>
          <t>vivarium</t>
        </is>
      </c>
      <c r="B6" s="74">
        <f>IFERROR(ROUND(AVERAGE(C6:AA6),2),"")</f>
        <v/>
      </c>
      <c r="C6" s="75" t="n">
        <v>7</v>
      </c>
      <c r="D6" s="75" t="n">
        <v>5</v>
      </c>
      <c r="E6" s="75" t="n">
        <v>1.5</v>
      </c>
      <c r="F6" s="75" t="n">
        <v>4</v>
      </c>
      <c r="G6" s="75" t="n">
        <v>7.5</v>
      </c>
      <c r="H6" s="75" t="n"/>
      <c r="I6" s="75" t="n"/>
      <c r="J6" s="75" t="n">
        <v>6.5</v>
      </c>
      <c r="K6" s="75" t="n">
        <v>6</v>
      </c>
      <c r="L6" s="75" t="n">
        <v>3</v>
      </c>
      <c r="M6" s="75" t="n"/>
      <c r="N6" s="75" t="n">
        <v>3</v>
      </c>
      <c r="O6" s="75" t="n"/>
      <c r="P6" s="75" t="n">
        <v>4</v>
      </c>
      <c r="Q6" s="75" t="n"/>
      <c r="R6" s="75" t="n">
        <v>1.5</v>
      </c>
      <c r="S6" s="75" t="n">
        <v>7</v>
      </c>
      <c r="T6" s="75" t="n">
        <v>5</v>
      </c>
      <c r="U6" s="75" t="n">
        <v>7.5</v>
      </c>
      <c r="V6" s="75" t="n"/>
      <c r="W6" s="75" t="n"/>
      <c r="X6" s="75" t="n"/>
      <c r="Y6" s="75" t="n"/>
      <c r="Z6" s="75" t="n"/>
      <c r="AA6" s="75" t="n"/>
      <c r="AB6" s="75" t="n"/>
      <c r="AC6" s="75" t="n"/>
      <c r="AD6" s="75" t="n"/>
      <c r="AE6" s="75" t="n"/>
      <c r="AF6" s="75">
        <f>IF(COUNT(C6:U6)=0,"",COUNT(C6:AA6))</f>
        <v/>
      </c>
      <c r="AG6" s="75" t="n"/>
    </row>
    <row r="7">
      <c r="A7" s="75" t="inlineStr">
        <is>
          <t>vigil</t>
        </is>
      </c>
      <c r="B7" s="74">
        <f>IFERROR(ROUND(AVERAGE(C7:AA7),2),"")</f>
        <v/>
      </c>
      <c r="C7" s="75" t="n">
        <v>5</v>
      </c>
      <c r="D7" s="75" t="n">
        <v>7</v>
      </c>
      <c r="E7" s="75" t="n">
        <v>5</v>
      </c>
      <c r="F7" s="75" t="n">
        <v>4.5</v>
      </c>
      <c r="G7" s="75" t="n">
        <v>6.5</v>
      </c>
      <c r="H7" s="75" t="n">
        <v>4</v>
      </c>
      <c r="I7" s="75" t="n"/>
      <c r="J7" s="75" t="n">
        <v>6</v>
      </c>
      <c r="K7" s="75" t="n"/>
      <c r="L7" s="75" t="n"/>
      <c r="M7" s="75" t="n">
        <v>6</v>
      </c>
      <c r="N7" s="75" t="n">
        <v>4</v>
      </c>
      <c r="O7" s="75" t="n"/>
      <c r="P7" s="75" t="n">
        <v>5</v>
      </c>
      <c r="Q7" s="75" t="n"/>
      <c r="R7" s="75" t="n">
        <v>5</v>
      </c>
      <c r="S7" s="75" t="n">
        <v>8</v>
      </c>
      <c r="T7" s="75" t="n">
        <v>6.5</v>
      </c>
      <c r="U7" s="75" t="n">
        <v>6</v>
      </c>
      <c r="V7" s="75" t="n"/>
      <c r="W7" s="75" t="n"/>
      <c r="X7" s="75" t="n"/>
      <c r="Y7" s="75" t="n"/>
      <c r="Z7" s="75" t="n"/>
      <c r="AA7" s="75" t="n"/>
      <c r="AB7" s="75" t="n"/>
      <c r="AC7" s="75" t="n"/>
      <c r="AD7" s="75" t="n"/>
      <c r="AE7" s="75" t="n"/>
      <c r="AF7" s="75">
        <f>IF(COUNT(C7:U7)=0,"",COUNT(C7:AA7))</f>
        <v/>
      </c>
      <c r="AG7" s="74" t="n"/>
    </row>
    <row r="8">
      <c r="A8" s="75" t="inlineStr">
        <is>
          <t>kotodama</t>
        </is>
      </c>
      <c r="B8" s="74">
        <f>IFERROR(ROUND(AVERAGE(C8:AA8),2),"")</f>
        <v/>
      </c>
      <c r="C8" s="75" t="n">
        <v>3</v>
      </c>
      <c r="D8" s="75" t="n">
        <v>4</v>
      </c>
      <c r="E8" s="75" t="n">
        <v>3</v>
      </c>
      <c r="F8" s="75" t="n">
        <v>4</v>
      </c>
      <c r="G8" s="75" t="n">
        <v>5</v>
      </c>
      <c r="H8" s="75" t="n">
        <v>7</v>
      </c>
      <c r="I8" s="75" t="n"/>
      <c r="J8" s="75" t="n"/>
      <c r="K8" s="75" t="n"/>
      <c r="L8" s="75" t="n"/>
      <c r="M8" s="75" t="n">
        <v>7</v>
      </c>
      <c r="N8" s="75" t="n"/>
      <c r="O8" s="75" t="n"/>
      <c r="P8" s="75" t="n">
        <v>2</v>
      </c>
      <c r="Q8" s="75" t="n"/>
      <c r="R8" s="75" t="n"/>
      <c r="S8" s="75" t="n"/>
      <c r="T8" s="75" t="n"/>
      <c r="U8" s="75" t="n">
        <v>4</v>
      </c>
      <c r="V8" s="75" t="n"/>
      <c r="W8" s="75" t="n"/>
      <c r="X8" s="75" t="n"/>
      <c r="Y8" s="75" t="n"/>
      <c r="Z8" s="75" t="n"/>
      <c r="AA8" s="75" t="n"/>
      <c r="AB8" s="75" t="n"/>
      <c r="AC8" s="75" t="n"/>
      <c r="AD8" s="75" t="n"/>
      <c r="AE8" s="75" t="n"/>
      <c r="AF8" s="75">
        <f>IF(COUNT(C8:U8)=0,"",COUNT(C8:AA8))</f>
        <v/>
      </c>
      <c r="AG8" s="74" t="n"/>
    </row>
    <row r="9">
      <c r="A9" s="71" t="inlineStr">
        <is>
          <t>Średnia nocy</t>
        </is>
      </c>
      <c r="B9" s="71">
        <f>IFERROR(ROUND(AVERAGE(B6:B8),2),"")</f>
        <v/>
      </c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  <c r="U9" s="71" t="n"/>
      <c r="V9" s="71" t="n"/>
      <c r="W9" s="71" t="n"/>
      <c r="X9" s="71" t="n"/>
      <c r="Y9" s="71" t="n"/>
      <c r="Z9" s="71" t="n"/>
      <c r="AA9" s="71" t="n"/>
      <c r="AB9" s="71" t="n"/>
      <c r="AC9" s="71" t="n"/>
      <c r="AD9" s="71" t="n"/>
      <c r="AE9" s="71" t="n"/>
      <c r="AF9" s="71" t="n"/>
      <c r="AG9" s="71">
        <f>IFERROR(ROUND(AVERAGE(AG6:AG8),2),"")</f>
        <v/>
      </c>
    </row>
    <row r="10">
      <c r="A10" s="75" t="inlineStr">
        <is>
          <t>The void</t>
        </is>
      </c>
      <c r="B10" s="74">
        <f>IFERROR(ROUND(AVERAGE(C10:$AA10),2),"")</f>
        <v/>
      </c>
      <c r="C10" s="75" t="n">
        <v>3</v>
      </c>
      <c r="D10" s="75" t="n">
        <v>4</v>
      </c>
      <c r="E10" s="75" t="n"/>
      <c r="F10" s="75" t="n"/>
      <c r="G10" s="75" t="n">
        <v>4.5</v>
      </c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>
        <v>3</v>
      </c>
      <c r="Q10" s="75" t="n"/>
      <c r="R10" s="75" t="n"/>
      <c r="S10" s="75" t="n"/>
      <c r="T10" s="75" t="n">
        <v>3</v>
      </c>
      <c r="U10" s="75" t="n">
        <v>2</v>
      </c>
      <c r="V10" s="75" t="n">
        <v>4</v>
      </c>
      <c r="W10" s="75" t="n">
        <v>2</v>
      </c>
      <c r="X10" s="75" t="n"/>
      <c r="Y10" s="75" t="n"/>
      <c r="Z10" s="75" t="n"/>
      <c r="AA10" s="75" t="n"/>
      <c r="AB10" s="75" t="n"/>
      <c r="AC10" s="75" t="n"/>
      <c r="AD10" s="75" t="n"/>
      <c r="AE10" s="75" t="n"/>
      <c r="AF10" s="75">
        <f>IF(COUNT(C10:U10)=0,"",COUNT(C10:AA10))</f>
        <v/>
      </c>
      <c r="AG10" s="74" t="n"/>
    </row>
    <row r="11">
      <c r="A11" s="75" t="inlineStr">
        <is>
          <t>Hereditary</t>
        </is>
      </c>
      <c r="B11" s="74">
        <f>IFERROR(ROUND(AVERAGE(C11:$AA11),2),"")</f>
        <v/>
      </c>
      <c r="C11" s="75" t="n">
        <v>8</v>
      </c>
      <c r="D11" s="75" t="n">
        <v>8</v>
      </c>
      <c r="E11" s="75" t="n">
        <v>8</v>
      </c>
      <c r="F11" s="75" t="n">
        <v>6</v>
      </c>
      <c r="G11" s="75" t="n">
        <v>6.5</v>
      </c>
      <c r="H11" s="75" t="n">
        <v>8</v>
      </c>
      <c r="I11" s="75" t="n"/>
      <c r="J11" s="75" t="n"/>
      <c r="K11" s="75" t="n"/>
      <c r="L11" s="75" t="n"/>
      <c r="M11" s="75" t="n"/>
      <c r="N11" s="75" t="n">
        <v>8</v>
      </c>
      <c r="O11" s="75" t="n"/>
      <c r="P11" s="75" t="n">
        <v>8</v>
      </c>
      <c r="Q11" s="75" t="n"/>
      <c r="R11" s="75" t="n"/>
      <c r="S11" s="75" t="n"/>
      <c r="T11" s="75" t="n">
        <v>9</v>
      </c>
      <c r="U11" s="75" t="n">
        <v>8</v>
      </c>
      <c r="V11" s="75" t="n">
        <v>7</v>
      </c>
      <c r="W11" s="75" t="n">
        <v>5</v>
      </c>
      <c r="X11" s="75" t="n"/>
      <c r="Y11" s="75" t="n"/>
      <c r="Z11" s="75" t="n"/>
      <c r="AA11" s="75" t="n"/>
      <c r="AB11" s="75" t="n"/>
      <c r="AC11" s="75" t="n"/>
      <c r="AD11" s="75" t="n"/>
      <c r="AE11" s="75" t="n"/>
      <c r="AF11" s="75">
        <f>IF(COUNT(C11:U11)=0,"",COUNT(C11:AA11))</f>
        <v/>
      </c>
      <c r="AG11" s="74" t="n"/>
    </row>
    <row r="12">
      <c r="A12" s="75" t="inlineStr">
        <is>
          <t>Terrifier</t>
        </is>
      </c>
      <c r="B12" s="74">
        <f>IFERROR(ROUND(AVERAGE(C12:$AA12),2),"")</f>
        <v/>
      </c>
      <c r="C12" s="75" t="n">
        <v>4</v>
      </c>
      <c r="D12" s="75" t="n">
        <v>6.5</v>
      </c>
      <c r="E12" s="75" t="n">
        <v>7</v>
      </c>
      <c r="F12" s="75" t="n">
        <v>4.5</v>
      </c>
      <c r="G12" s="75" t="n">
        <v>2</v>
      </c>
      <c r="H12" s="75" t="n">
        <v>1</v>
      </c>
      <c r="I12" s="75" t="n"/>
      <c r="J12" s="75" t="n"/>
      <c r="K12" s="75" t="n"/>
      <c r="L12" s="75" t="n"/>
      <c r="M12" s="75" t="n"/>
      <c r="N12" s="75" t="n"/>
      <c r="O12" s="75" t="n"/>
      <c r="P12" s="75" t="n">
        <v>2</v>
      </c>
      <c r="Q12" s="75" t="n"/>
      <c r="R12" s="75" t="n"/>
      <c r="S12" s="75" t="n"/>
      <c r="T12" s="75" t="n">
        <v>3</v>
      </c>
      <c r="U12" s="75" t="n">
        <v>3</v>
      </c>
      <c r="V12" s="75" t="n"/>
      <c r="W12" s="75" t="n"/>
      <c r="X12" s="75" t="n"/>
      <c r="Y12" s="75" t="n"/>
      <c r="Z12" s="75" t="n"/>
      <c r="AA12" s="75" t="n"/>
      <c r="AB12" s="75" t="n"/>
      <c r="AC12" s="75" t="n"/>
      <c r="AD12" s="75" t="n"/>
      <c r="AE12" s="75" t="n"/>
      <c r="AF12" s="75">
        <f>IF(COUNT(C12:U12)=0,"",COUNT(C12:AA12))</f>
        <v/>
      </c>
      <c r="AG12" s="74" t="n"/>
    </row>
    <row r="13">
      <c r="A13" s="71" t="inlineStr">
        <is>
          <t>Średnia nocy</t>
        </is>
      </c>
      <c r="B13" s="72">
        <f>IFERROR(ROUND(AVERAGE(B10:B12),2),"")</f>
        <v/>
      </c>
      <c r="C13" s="72" t="n"/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  <c r="Z13" s="72" t="n"/>
      <c r="AA13" s="72" t="n"/>
      <c r="AB13" s="72" t="n"/>
      <c r="AC13" s="72" t="n"/>
      <c r="AD13" s="72" t="n"/>
      <c r="AE13" s="72" t="n"/>
      <c r="AF13" s="72" t="n"/>
      <c r="AG13" s="72">
        <f>IFERROR(ROUND(AVERAGE(AG10:AG12),2),"")</f>
        <v/>
      </c>
    </row>
    <row r="14">
      <c r="A14" s="75" t="inlineStr">
        <is>
          <t>piekna i rzeznik</t>
        </is>
      </c>
      <c r="B14" s="74">
        <f>IFERROR(ROUND(AVERAGE(C14:$AA14),2),"")</f>
        <v/>
      </c>
      <c r="C14" s="75" t="n">
        <v>7.5</v>
      </c>
      <c r="D14" s="75" t="n">
        <v>7</v>
      </c>
      <c r="E14" s="75" t="n">
        <v>7</v>
      </c>
      <c r="F14" s="75" t="n"/>
      <c r="G14" s="75" t="n">
        <v>7</v>
      </c>
      <c r="H14" s="75" t="n"/>
      <c r="I14" s="75" t="n"/>
      <c r="J14" s="75" t="n">
        <v>7</v>
      </c>
      <c r="K14" s="75" t="n"/>
      <c r="L14" s="75" t="n">
        <v>4</v>
      </c>
      <c r="M14" s="75" t="n"/>
      <c r="N14" s="75" t="n"/>
      <c r="O14" s="75" t="n">
        <v>5</v>
      </c>
      <c r="P14" s="75" t="n">
        <v>5</v>
      </c>
      <c r="Q14" s="75" t="n"/>
      <c r="R14" s="75" t="n">
        <v>1.5</v>
      </c>
      <c r="S14" s="75" t="n">
        <v>8</v>
      </c>
      <c r="T14" s="75" t="n"/>
      <c r="U14" s="75" t="n"/>
      <c r="V14" s="75" t="n"/>
      <c r="W14" s="75" t="n"/>
      <c r="X14" s="75" t="n"/>
      <c r="Y14" s="75" t="n">
        <v>7</v>
      </c>
      <c r="Z14" s="75" t="n"/>
      <c r="AA14" s="75" t="n"/>
      <c r="AB14" s="75" t="n"/>
      <c r="AC14" s="75" t="n"/>
      <c r="AD14" s="75" t="n"/>
      <c r="AE14" s="75" t="n"/>
      <c r="AF14" s="75">
        <f>IF(COUNT(C14:U14)=0,"",COUNT(C14:AA14))</f>
        <v/>
      </c>
      <c r="AG14" s="74" t="n"/>
    </row>
    <row r="15">
      <c r="A15" s="75" t="inlineStr">
        <is>
          <t>black phone</t>
        </is>
      </c>
      <c r="B15" s="74">
        <f>IFERROR(ROUND(AVERAGE(C15:$AA15),2),"")</f>
        <v/>
      </c>
      <c r="C15" s="75" t="n">
        <v>7</v>
      </c>
      <c r="D15" s="75" t="n">
        <v>7</v>
      </c>
      <c r="E15" s="75" t="n">
        <v>8</v>
      </c>
      <c r="F15" s="75" t="n">
        <v>7</v>
      </c>
      <c r="G15" s="75" t="n">
        <v>9</v>
      </c>
      <c r="H15" s="75" t="n"/>
      <c r="I15" s="75" t="n"/>
      <c r="J15" s="75" t="n"/>
      <c r="K15" s="75" t="n"/>
      <c r="L15" s="75" t="n">
        <v>6</v>
      </c>
      <c r="M15" s="75" t="n"/>
      <c r="N15" s="75" t="n"/>
      <c r="O15" s="75" t="n">
        <v>6.5</v>
      </c>
      <c r="P15" s="75" t="n">
        <v>6.5</v>
      </c>
      <c r="Q15" s="75" t="n"/>
      <c r="R15" s="75" t="n">
        <v>8</v>
      </c>
      <c r="S15" s="75" t="n">
        <v>7</v>
      </c>
      <c r="T15" s="75" t="n"/>
      <c r="U15" s="75" t="n"/>
      <c r="V15" s="75" t="n"/>
      <c r="W15" s="75" t="n"/>
      <c r="X15" s="75" t="n"/>
      <c r="Y15" s="75" t="n">
        <v>7</v>
      </c>
      <c r="Z15" s="75" t="n"/>
      <c r="AA15" s="75" t="n"/>
      <c r="AB15" s="75" t="n"/>
      <c r="AC15" s="75" t="n"/>
      <c r="AD15" s="75" t="n"/>
      <c r="AE15" s="75" t="n"/>
      <c r="AF15" s="75">
        <f>IF(COUNT(C15:U15)=0,"",COUNT(C15:AA15))</f>
        <v/>
      </c>
      <c r="AG15" s="74" t="n"/>
    </row>
    <row r="16">
      <c r="A16" s="75" t="inlineStr">
        <is>
          <t>last shift</t>
        </is>
      </c>
      <c r="B16" s="74">
        <f>IFERROR(ROUND(AVERAGE(C16:$AA16),2),"")</f>
        <v/>
      </c>
      <c r="C16" s="75" t="n">
        <v>1.5</v>
      </c>
      <c r="D16" s="75" t="n">
        <v>2</v>
      </c>
      <c r="E16" s="75" t="n">
        <v>8.5</v>
      </c>
      <c r="F16" s="75" t="n">
        <v>5.5</v>
      </c>
      <c r="G16" s="75" t="n">
        <v>3.5</v>
      </c>
      <c r="H16" s="75" t="n"/>
      <c r="I16" s="75" t="n"/>
      <c r="J16" s="75" t="n"/>
      <c r="K16" s="75" t="n"/>
      <c r="L16" s="75" t="n">
        <v>2</v>
      </c>
      <c r="M16" s="75" t="n"/>
      <c r="N16" s="75" t="n"/>
      <c r="O16" s="75" t="n"/>
      <c r="P16" s="75" t="n">
        <v>2</v>
      </c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>
        <v>3</v>
      </c>
      <c r="Z16" s="75" t="n"/>
      <c r="AA16" s="75" t="n"/>
      <c r="AB16" s="75" t="n"/>
      <c r="AC16" s="75" t="n"/>
      <c r="AD16" s="75" t="n"/>
      <c r="AE16" s="75" t="n"/>
      <c r="AF16" s="75">
        <f>IF(COUNT(C16:U16)=0,"",COUNT(C16:AA16))</f>
        <v/>
      </c>
      <c r="AG16" s="74" t="n"/>
    </row>
    <row r="17">
      <c r="A17" s="71" t="inlineStr">
        <is>
          <t>Średnia nocy</t>
        </is>
      </c>
      <c r="B17" s="72">
        <f>IFERROR(ROUND(AVERAGE(B14:B16),2),"")</f>
        <v/>
      </c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  <c r="N17" s="71" t="n"/>
      <c r="O17" s="71" t="n"/>
      <c r="P17" s="71" t="n"/>
      <c r="Q17" s="71" t="n"/>
      <c r="R17" s="71" t="n"/>
      <c r="S17" s="71" t="n"/>
      <c r="T17" s="71" t="n"/>
      <c r="U17" s="71" t="n"/>
      <c r="V17" s="71" t="n"/>
      <c r="W17" s="71" t="n"/>
      <c r="X17" s="71" t="n"/>
      <c r="Y17" s="71" t="n"/>
      <c r="Z17" s="71" t="n"/>
      <c r="AA17" s="71" t="n"/>
      <c r="AB17" s="71" t="n"/>
      <c r="AC17" s="71" t="n"/>
      <c r="AD17" s="71" t="n"/>
      <c r="AE17" s="71" t="n"/>
      <c r="AF17" s="71" t="n"/>
      <c r="AG17" s="72" t="n"/>
    </row>
    <row r="18">
      <c r="A18" s="75" t="inlineStr">
        <is>
          <t>pee mak</t>
        </is>
      </c>
      <c r="B18" s="74">
        <f>IFERROR(ROUND(AVERAGE(C18:$AA18),2),"")</f>
        <v/>
      </c>
      <c r="C18" s="75" t="n">
        <v>3</v>
      </c>
      <c r="D18" s="75" t="n">
        <v>5</v>
      </c>
      <c r="E18" s="75" t="n">
        <v>6.5</v>
      </c>
      <c r="F18" s="75" t="n"/>
      <c r="G18" s="75" t="n">
        <v>6.5</v>
      </c>
      <c r="H18" s="75" t="n"/>
      <c r="I18" s="75" t="n"/>
      <c r="J18" s="75" t="n"/>
      <c r="K18" s="75" t="n">
        <v>4</v>
      </c>
      <c r="L18" s="75" t="n"/>
      <c r="M18" s="75" t="n"/>
      <c r="N18" s="75" t="n"/>
      <c r="O18" s="75" t="n">
        <v>3.5</v>
      </c>
      <c r="P18" s="75" t="n">
        <v>4</v>
      </c>
      <c r="Q18" s="75" t="n"/>
      <c r="R18" s="75" t="n">
        <v>3</v>
      </c>
      <c r="S18" s="75" t="n"/>
      <c r="T18" s="75" t="n">
        <v>5.5</v>
      </c>
      <c r="U18" s="75" t="n">
        <v>6</v>
      </c>
      <c r="V18" s="75" t="n"/>
      <c r="W18" s="75" t="n"/>
      <c r="X18" s="75" t="n"/>
      <c r="Y18" s="75" t="n"/>
      <c r="Z18" s="75" t="n"/>
      <c r="AA18" s="75" t="n"/>
      <c r="AB18" s="75" t="n"/>
      <c r="AC18" s="75" t="n"/>
      <c r="AD18" s="75" t="n"/>
      <c r="AE18" s="75" t="n"/>
      <c r="AF18" s="75">
        <f>IF(COUNT(C18:U18)=0,"",COUNT(C18:AA18))</f>
        <v/>
      </c>
      <c r="AG18" s="74" t="n"/>
    </row>
    <row r="19">
      <c r="A19" s="75" t="inlineStr">
        <is>
          <t>my heart cant beat unless you tell it to</t>
        </is>
      </c>
      <c r="B19" s="74">
        <f>IFERROR(ROUND(AVERAGE(C19:$AA19),2),"")</f>
        <v/>
      </c>
      <c r="C19" s="75" t="n">
        <v>3</v>
      </c>
      <c r="D19" s="75" t="n">
        <v>3</v>
      </c>
      <c r="E19" s="75" t="n">
        <v>4</v>
      </c>
      <c r="F19" s="75" t="n">
        <v>4</v>
      </c>
      <c r="G19" s="75" t="n">
        <v>6</v>
      </c>
      <c r="H19" s="75" t="n">
        <v>1</v>
      </c>
      <c r="I19" s="75" t="n"/>
      <c r="J19" s="75" t="n"/>
      <c r="K19" s="75" t="n"/>
      <c r="L19" s="75" t="n"/>
      <c r="M19" s="75" t="n"/>
      <c r="N19" s="75" t="n"/>
      <c r="O19" s="75" t="n">
        <v>1</v>
      </c>
      <c r="P19" s="75" t="n">
        <v>7</v>
      </c>
      <c r="Q19" s="75" t="n"/>
      <c r="R19" s="75" t="n">
        <v>4</v>
      </c>
      <c r="S19" s="75" t="n"/>
      <c r="T19" s="75" t="n">
        <v>7</v>
      </c>
      <c r="U19" s="75" t="n">
        <v>7.5</v>
      </c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  <c r="AE19" s="75" t="n"/>
      <c r="AF19" s="75">
        <f>IF(COUNT(C19:U19)=0,"",COUNT(C19:AA19))</f>
        <v/>
      </c>
      <c r="AG19" s="74" t="n"/>
    </row>
    <row r="20">
      <c r="A20" s="75" t="inlineStr">
        <is>
          <t>sadako vs kayako</t>
        </is>
      </c>
      <c r="B20" s="74">
        <f>IFERROR(ROUND(AVERAGE(C20:$AA20),2),"")</f>
        <v/>
      </c>
      <c r="C20" s="75" t="n">
        <v>3</v>
      </c>
      <c r="D20" s="75" t="n">
        <v>4</v>
      </c>
      <c r="E20" s="75" t="n"/>
      <c r="F20" s="75" t="n"/>
      <c r="G20" s="75" t="n">
        <v>4.5</v>
      </c>
      <c r="H20" s="75" t="n">
        <v>5</v>
      </c>
      <c r="I20" s="75" t="n"/>
      <c r="J20" s="75" t="n"/>
      <c r="K20" s="75" t="n"/>
      <c r="L20" s="75" t="n"/>
      <c r="M20" s="75" t="n"/>
      <c r="N20" s="75" t="n"/>
      <c r="O20" s="75" t="n"/>
      <c r="P20" s="75" t="n">
        <v>4</v>
      </c>
      <c r="Q20" s="75" t="n"/>
      <c r="R20" s="75" t="n"/>
      <c r="S20" s="75" t="n"/>
      <c r="T20" s="75" t="n">
        <v>3.5</v>
      </c>
      <c r="U20" s="75" t="n">
        <v>8</v>
      </c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  <c r="AE20" s="75" t="n"/>
      <c r="AF20" s="75">
        <f>IF(COUNT(C20:U20)=0,"",COUNT(C20:AA20))</f>
        <v/>
      </c>
      <c r="AG20" s="74" t="n"/>
    </row>
    <row r="21">
      <c r="A21" s="71" t="inlineStr">
        <is>
          <t>Średnia nocy</t>
        </is>
      </c>
      <c r="B21" s="72">
        <f>IFERROR(ROUND(AVERAGE(B18:B20),2),"")</f>
        <v/>
      </c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  <c r="N21" s="71" t="n"/>
      <c r="O21" s="71" t="n"/>
      <c r="P21" s="71" t="n"/>
      <c r="Q21" s="71" t="n"/>
      <c r="R21" s="71" t="n"/>
      <c r="S21" s="71" t="n"/>
      <c r="T21" s="71" t="n"/>
      <c r="U21" s="71" t="n"/>
      <c r="V21" s="71" t="n"/>
      <c r="W21" s="71" t="n"/>
      <c r="X21" s="71" t="n"/>
      <c r="Y21" s="71" t="n"/>
      <c r="Z21" s="71" t="n"/>
      <c r="AA21" s="71" t="n"/>
      <c r="AB21" s="71" t="n"/>
      <c r="AC21" s="71" t="n"/>
      <c r="AD21" s="71" t="n"/>
      <c r="AE21" s="71" t="n"/>
      <c r="AF21" s="71" t="n"/>
      <c r="AG21" s="72" t="n"/>
    </row>
    <row r="22">
      <c r="A22" s="75" t="inlineStr">
        <is>
          <t>windy and willy</t>
        </is>
      </c>
      <c r="B22" s="74">
        <f>IFERROR(ROUND(AVERAGE(C22:AA22),2),"")</f>
        <v/>
      </c>
      <c r="C22" s="75" t="n">
        <v>9</v>
      </c>
      <c r="D22" s="75" t="n">
        <v>7.5</v>
      </c>
      <c r="E22" s="75" t="n">
        <v>7.5</v>
      </c>
      <c r="F22" s="75" t="n">
        <v>8</v>
      </c>
      <c r="G22" s="75" t="n">
        <v>7.5</v>
      </c>
      <c r="H22" s="75" t="n"/>
      <c r="I22" s="75" t="n"/>
      <c r="J22" s="75" t="n"/>
      <c r="K22" s="75" t="n"/>
      <c r="L22" s="75" t="n">
        <v>7.5</v>
      </c>
      <c r="M22" s="75" t="n"/>
      <c r="N22" s="75" t="n"/>
      <c r="O22" s="75" t="n"/>
      <c r="P22" s="75" t="n"/>
      <c r="Q22" s="75" t="n"/>
      <c r="R22" s="75" t="n">
        <v>8</v>
      </c>
      <c r="S22" s="75" t="n"/>
      <c r="T22" s="75" t="n">
        <v>7.5</v>
      </c>
      <c r="U22" s="75" t="n">
        <v>10</v>
      </c>
      <c r="V22" s="75" t="n"/>
      <c r="W22" s="75" t="n"/>
      <c r="X22" s="75" t="n"/>
      <c r="Y22" s="75" t="n"/>
      <c r="Z22" s="75" t="n">
        <v>8</v>
      </c>
      <c r="AA22" s="75" t="n"/>
      <c r="AB22" s="75" t="n"/>
      <c r="AC22" s="75" t="n"/>
      <c r="AD22" s="75" t="n"/>
      <c r="AE22" s="75" t="n"/>
      <c r="AF22" s="75">
        <f>IF(COUNT(C22:U22)=0,"",COUNT(C22:AA22))</f>
        <v/>
      </c>
      <c r="AG22" s="74" t="n"/>
    </row>
    <row r="23">
      <c r="A23" s="75" t="inlineStr">
        <is>
          <t>trick r' treat</t>
        </is>
      </c>
      <c r="B23" s="74">
        <f>IFERROR(ROUND(AVERAGE(C23:AA23),2),"")</f>
        <v/>
      </c>
      <c r="C23" s="75" t="n">
        <v>3</v>
      </c>
      <c r="D23" s="75" t="n">
        <v>5</v>
      </c>
      <c r="E23" s="75" t="n">
        <v>6.5</v>
      </c>
      <c r="F23" s="75" t="n">
        <v>6</v>
      </c>
      <c r="G23" s="75" t="n">
        <v>4.5</v>
      </c>
      <c r="H23" s="75" t="n">
        <v>5</v>
      </c>
      <c r="I23" s="75" t="n"/>
      <c r="J23" s="75" t="n"/>
      <c r="K23" s="75" t="n"/>
      <c r="L23" s="75" t="n">
        <v>3.5</v>
      </c>
      <c r="M23" s="75" t="n"/>
      <c r="N23" s="75" t="n"/>
      <c r="O23" s="75" t="n"/>
      <c r="P23" s="75" t="n"/>
      <c r="Q23" s="75" t="n"/>
      <c r="R23" s="75" t="n">
        <v>6</v>
      </c>
      <c r="S23" s="75" t="n"/>
      <c r="T23" s="75" t="n">
        <v>3</v>
      </c>
      <c r="U23" s="75" t="n">
        <v>5</v>
      </c>
      <c r="V23" s="75" t="n"/>
      <c r="W23" s="75" t="n"/>
      <c r="X23" s="75" t="n"/>
      <c r="Y23" s="75" t="n"/>
      <c r="Z23" s="75" t="n">
        <v>5.5</v>
      </c>
      <c r="AA23" s="75" t="n"/>
      <c r="AB23" s="75" t="n"/>
      <c r="AC23" s="75" t="n"/>
      <c r="AD23" s="75" t="n"/>
      <c r="AE23" s="75" t="n"/>
      <c r="AF23" s="75">
        <f>IF(COUNT(C23:U23)=0,"",COUNT(C23:AA23))</f>
        <v/>
      </c>
      <c r="AG23" s="74" t="n"/>
    </row>
    <row r="24">
      <c r="A24" s="76" t="inlineStr">
        <is>
          <t>terrifier 2</t>
        </is>
      </c>
      <c r="B24" s="74">
        <f>IFERROR(ROUND(AVERAGE(C24:AA24),2),"")</f>
        <v/>
      </c>
      <c r="C24" s="75" t="n">
        <v>3</v>
      </c>
      <c r="D24" s="75" t="n">
        <v>3.5</v>
      </c>
      <c r="E24" s="75" t="n">
        <v>5</v>
      </c>
      <c r="F24" s="75" t="n">
        <v>3</v>
      </c>
      <c r="G24" s="75" t="n">
        <v>2.5</v>
      </c>
      <c r="H24" s="75" t="n">
        <v>3</v>
      </c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>
        <v>2</v>
      </c>
      <c r="S24" s="75" t="n"/>
      <c r="T24" s="75" t="n">
        <v>3</v>
      </c>
      <c r="U24" s="75" t="n">
        <v>1</v>
      </c>
      <c r="V24" s="75" t="n"/>
      <c r="W24" s="75" t="n"/>
      <c r="X24" s="75" t="n"/>
      <c r="Y24" s="75" t="n"/>
      <c r="Z24" s="75" t="n"/>
      <c r="AA24" s="75" t="n"/>
      <c r="AB24" s="75" t="n"/>
      <c r="AC24" s="75" t="n"/>
      <c r="AD24" s="75" t="n"/>
      <c r="AE24" s="75" t="n"/>
      <c r="AF24" s="75">
        <f>IF(COUNT(C24:U24)=0,"",COUNT(C24:AA24))</f>
        <v/>
      </c>
      <c r="AG24" s="74" t="n"/>
    </row>
    <row r="25">
      <c r="A25" s="71" t="inlineStr">
        <is>
          <t>Średnia nocy</t>
        </is>
      </c>
      <c r="B25" s="72">
        <f>IFERROR(ROUND(AVERAGE(B22:B24),2),"")</f>
        <v/>
      </c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  <c r="N25" s="71" t="n"/>
      <c r="O25" s="71" t="n"/>
      <c r="P25" s="71" t="n"/>
      <c r="Q25" s="71" t="n"/>
      <c r="R25" s="71" t="n"/>
      <c r="S25" s="71" t="n"/>
      <c r="T25" s="71" t="n"/>
      <c r="U25" s="71" t="n"/>
      <c r="V25" s="71" t="n"/>
      <c r="W25" s="71" t="n"/>
      <c r="X25" s="71" t="n"/>
      <c r="Y25" s="71" t="n"/>
      <c r="Z25" s="71" t="n"/>
      <c r="AA25" s="71" t="n"/>
      <c r="AB25" s="71" t="n"/>
      <c r="AC25" s="71" t="n"/>
      <c r="AD25" s="71" t="n"/>
      <c r="AE25" s="71" t="n"/>
      <c r="AF25" s="71" t="n"/>
      <c r="AG25" s="72" t="n"/>
    </row>
    <row r="26">
      <c r="A26" s="75" t="inlineStr">
        <is>
          <t>my best friend's exorcism</t>
        </is>
      </c>
      <c r="B26" s="74">
        <f>IFERROR(ROUND(AVERAGE(C26:$AA26),2),"")</f>
        <v/>
      </c>
      <c r="C26" s="75" t="n">
        <v>7</v>
      </c>
      <c r="D26" s="75" t="n">
        <v>6</v>
      </c>
      <c r="E26" s="75" t="n">
        <v>6</v>
      </c>
      <c r="F26" s="75" t="n">
        <v>7</v>
      </c>
      <c r="G26" s="75" t="n">
        <v>6.5</v>
      </c>
      <c r="H26" s="75" t="n"/>
      <c r="I26" s="75" t="n"/>
      <c r="J26" s="75" t="n"/>
      <c r="K26" s="75" t="n"/>
      <c r="L26" s="75" t="n"/>
      <c r="M26" s="75" t="n"/>
      <c r="N26" s="75" t="n"/>
      <c r="O26" s="75" t="n">
        <v>6</v>
      </c>
      <c r="P26" s="75" t="n">
        <v>5</v>
      </c>
      <c r="Q26" s="75" t="n"/>
      <c r="R26" s="75" t="n"/>
      <c r="S26" s="75" t="n"/>
      <c r="T26" s="75" t="n">
        <v>8</v>
      </c>
      <c r="U26" s="75" t="n"/>
      <c r="V26" s="75" t="n">
        <v>7</v>
      </c>
      <c r="W26" s="75" t="n">
        <v>8</v>
      </c>
      <c r="X26" s="75" t="n"/>
      <c r="Y26" s="75" t="n"/>
      <c r="Z26" s="75" t="n">
        <v>6</v>
      </c>
      <c r="AA26" s="75" t="n"/>
      <c r="AB26" s="75" t="n"/>
      <c r="AC26" s="75" t="n"/>
      <c r="AD26" s="75" t="n"/>
      <c r="AE26" s="75" t="n"/>
      <c r="AF26" s="75">
        <f>IF(COUNT(C26:AA26)=0,"",COUNT(C26:AA26))</f>
        <v/>
      </c>
      <c r="AG26" s="74" t="n"/>
    </row>
    <row r="27">
      <c r="A27" s="75" t="inlineStr">
        <is>
          <t>barbarian</t>
        </is>
      </c>
      <c r="B27" s="74">
        <f>IFERROR(ROUND(AVERAGE(C27:$AA27),2),"")</f>
        <v/>
      </c>
      <c r="C27" s="75" t="n">
        <v>9</v>
      </c>
      <c r="D27" s="75" t="n">
        <v>8</v>
      </c>
      <c r="E27" s="75" t="n">
        <v>9</v>
      </c>
      <c r="F27" s="75" t="n">
        <v>9</v>
      </c>
      <c r="G27" s="75" t="n">
        <v>9</v>
      </c>
      <c r="H27" s="75" t="n">
        <v>6</v>
      </c>
      <c r="I27" s="75" t="n"/>
      <c r="J27" s="75" t="n"/>
      <c r="K27" s="75" t="n">
        <v>8</v>
      </c>
      <c r="L27" s="75" t="n"/>
      <c r="M27" s="75" t="n"/>
      <c r="N27" s="75" t="n"/>
      <c r="O27" s="75" t="n">
        <v>6</v>
      </c>
      <c r="P27" s="75" t="n">
        <v>7</v>
      </c>
      <c r="Q27" s="75" t="n"/>
      <c r="R27" s="75" t="n"/>
      <c r="S27" s="75" t="n"/>
      <c r="T27" s="75" t="n">
        <v>8</v>
      </c>
      <c r="U27" s="75" t="n"/>
      <c r="V27" s="75" t="n">
        <v>9</v>
      </c>
      <c r="W27" s="75" t="n">
        <v>8</v>
      </c>
      <c r="X27" s="75" t="n"/>
      <c r="Y27" s="75" t="n"/>
      <c r="Z27" s="75" t="n">
        <v>8</v>
      </c>
      <c r="AA27" s="75" t="n"/>
      <c r="AB27" s="75" t="n"/>
      <c r="AC27" s="75" t="n"/>
      <c r="AD27" s="75" t="n"/>
      <c r="AE27" s="75" t="n"/>
      <c r="AF27" s="75">
        <f>IF(COUNT(C27:AA27)=0,"",COUNT(C27:AA27))</f>
        <v/>
      </c>
      <c r="AG27" s="74" t="n"/>
    </row>
    <row r="28">
      <c r="A28" s="75" t="inlineStr">
        <is>
          <t>possesion of hannah grace</t>
        </is>
      </c>
      <c r="B28" s="74">
        <f>IFERROR(ROUND(AVERAGE(C28:$AA28),2),"")</f>
        <v/>
      </c>
      <c r="C28" s="75" t="n">
        <v>3</v>
      </c>
      <c r="D28" s="75" t="n">
        <v>6</v>
      </c>
      <c r="E28" s="75" t="n"/>
      <c r="F28" s="75" t="n"/>
      <c r="G28" s="75" t="n">
        <v>5</v>
      </c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>
        <v>3</v>
      </c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  <c r="AA28" s="75" t="n"/>
      <c r="AB28" s="75" t="n"/>
      <c r="AC28" s="75" t="n"/>
      <c r="AD28" s="75" t="n"/>
      <c r="AE28" s="75" t="n"/>
      <c r="AF28" s="75">
        <f>IF(COUNT(C28:AA28)=0,"",COUNT(C28:AA28))</f>
        <v/>
      </c>
      <c r="AG28" s="74" t="n"/>
    </row>
    <row r="29">
      <c r="A29" s="71" t="inlineStr">
        <is>
          <t>Średnia nocy</t>
        </is>
      </c>
      <c r="B29" s="72">
        <f>IFERROR(ROUND(AVERAGE(B26:B28),2),"")</f>
        <v/>
      </c>
      <c r="C29" s="71" t="n"/>
      <c r="D29" s="71" t="n"/>
      <c r="E29" s="71" t="n"/>
      <c r="F29" s="71" t="n"/>
      <c r="G29" s="71" t="n"/>
      <c r="H29" s="71" t="n"/>
      <c r="I29" s="71" t="n"/>
      <c r="J29" s="71" t="n"/>
      <c r="K29" s="71" t="n"/>
      <c r="L29" s="71" t="n"/>
      <c r="M29" s="71" t="n"/>
      <c r="N29" s="71" t="n"/>
      <c r="O29" s="71" t="n"/>
      <c r="P29" s="71" t="n"/>
      <c r="Q29" s="71" t="n"/>
      <c r="R29" s="71" t="n"/>
      <c r="S29" s="71" t="n"/>
      <c r="T29" s="71" t="n"/>
      <c r="U29" s="71" t="n"/>
      <c r="V29" s="71" t="n"/>
      <c r="W29" s="71" t="n"/>
      <c r="X29" s="71" t="n"/>
      <c r="Y29" s="71" t="n"/>
      <c r="Z29" s="71" t="n"/>
      <c r="AA29" s="71" t="n"/>
      <c r="AB29" s="71" t="n"/>
      <c r="AC29" s="71" t="n"/>
      <c r="AD29" s="71" t="n"/>
      <c r="AE29" s="71" t="n"/>
      <c r="AF29" s="71" t="n"/>
      <c r="AG29" s="72" t="n"/>
    </row>
    <row r="30">
      <c r="A30" s="75" t="inlineStr">
        <is>
          <t>kishonia</t>
        </is>
      </c>
      <c r="B30" s="74">
        <f>IFERROR(ROUND(AVERAGE(C30:$AA30),2),"")</f>
        <v/>
      </c>
      <c r="C30" s="75" t="n">
        <v>3</v>
      </c>
      <c r="D30" s="75" t="n">
        <v>3</v>
      </c>
      <c r="E30" s="75" t="n"/>
      <c r="F30" s="75" t="n"/>
      <c r="G30" s="75" t="n">
        <v>6</v>
      </c>
      <c r="H30" s="75" t="n"/>
      <c r="I30" s="75" t="n"/>
      <c r="J30" s="75" t="n"/>
      <c r="K30" s="75" t="n"/>
      <c r="L30" s="75" t="n"/>
      <c r="M30" s="75" t="n"/>
      <c r="N30" s="75" t="n"/>
      <c r="O30" s="75" t="n">
        <v>3</v>
      </c>
      <c r="P30" s="75" t="n">
        <v>3</v>
      </c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  <c r="AA30" s="75" t="n"/>
      <c r="AB30" s="75" t="n"/>
      <c r="AC30" s="75" t="n"/>
      <c r="AD30" s="75" t="n"/>
      <c r="AE30" s="75" t="n"/>
      <c r="AF30" s="75">
        <f>IF(COUNT(C30:AA30)=0,"",COUNT(C30:AA30))</f>
        <v/>
      </c>
      <c r="AG30" s="74" t="n"/>
    </row>
    <row r="31">
      <c r="A31" s="75" t="inlineStr">
        <is>
          <t>studio 666</t>
        </is>
      </c>
      <c r="B31" s="74">
        <f>IFERROR(ROUND(AVERAGE(C31:$AA31),2),"")</f>
        <v/>
      </c>
      <c r="C31" s="75" t="n">
        <v>8</v>
      </c>
      <c r="D31" s="75" t="n">
        <v>5.5</v>
      </c>
      <c r="E31" s="75" t="n">
        <v>6</v>
      </c>
      <c r="F31" s="75" t="n"/>
      <c r="G31" s="75" t="n">
        <v>6</v>
      </c>
      <c r="H31" s="75" t="n"/>
      <c r="I31" s="75" t="n"/>
      <c r="J31" s="75" t="n"/>
      <c r="K31" s="75" t="n"/>
      <c r="L31" s="75" t="n"/>
      <c r="M31" s="75" t="n"/>
      <c r="N31" s="77" t="n"/>
      <c r="O31" s="75" t="n">
        <v>4.5</v>
      </c>
      <c r="P31" s="75" t="n">
        <v>5</v>
      </c>
      <c r="Q31" s="75" t="n"/>
      <c r="R31" s="75" t="n"/>
      <c r="S31" s="75" t="n"/>
      <c r="T31" s="75" t="n"/>
      <c r="U31" s="75" t="n">
        <v>6</v>
      </c>
      <c r="V31" s="75" t="n"/>
      <c r="W31" s="75" t="n"/>
      <c r="X31" s="75" t="n"/>
      <c r="Y31" s="75" t="n"/>
      <c r="Z31" s="75" t="n"/>
      <c r="AA31" s="75" t="n"/>
      <c r="AB31" s="75" t="n"/>
      <c r="AC31" s="75" t="n"/>
      <c r="AD31" s="75" t="n"/>
      <c r="AE31" s="75" t="n"/>
      <c r="AF31" s="75">
        <f>IF(COUNT(C31:AA31)=0,"",COUNT(C31:AA31))</f>
        <v/>
      </c>
      <c r="AG31" s="74" t="n"/>
    </row>
    <row r="32">
      <c r="A32" s="75" t="inlineStr">
        <is>
          <t>unhuman</t>
        </is>
      </c>
      <c r="B32" s="74">
        <f>IFERROR(ROUND(AVERAGE(C32:$AA32),2),"")</f>
        <v/>
      </c>
      <c r="C32" s="75" t="n">
        <v>6.5</v>
      </c>
      <c r="D32" s="75" t="n">
        <v>8</v>
      </c>
      <c r="E32" s="75" t="n"/>
      <c r="F32" s="75" t="n"/>
      <c r="G32" s="75" t="n">
        <v>7</v>
      </c>
      <c r="H32" s="75" t="n">
        <v>10</v>
      </c>
      <c r="I32" s="75" t="n"/>
      <c r="J32" s="75" t="n"/>
      <c r="K32" s="75" t="n"/>
      <c r="L32" s="75" t="n"/>
      <c r="M32" s="75" t="n"/>
      <c r="N32" s="77" t="n"/>
      <c r="O32" s="75" t="n"/>
      <c r="P32" s="75" t="n"/>
      <c r="Q32" s="75" t="n"/>
      <c r="R32" s="75" t="n"/>
      <c r="S32" s="75" t="n"/>
      <c r="T32" s="75" t="n"/>
      <c r="U32" s="75" t="n">
        <v>9</v>
      </c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  <c r="AF32" s="75">
        <f>IF(COUNT(C32:AA32)=0,"",COUNT(C32:AA32))</f>
        <v/>
      </c>
      <c r="AG32" s="74" t="n"/>
    </row>
    <row r="33">
      <c r="A33" s="71" t="inlineStr">
        <is>
          <t>Średnia nocy</t>
        </is>
      </c>
      <c r="B33" s="72">
        <f>IFERROR(ROUND(AVERAGE(B30:B32),2),"")</f>
        <v/>
      </c>
      <c r="C33" s="71" t="n"/>
      <c r="D33" s="71" t="n"/>
      <c r="E33" s="71" t="n"/>
      <c r="F33" s="71" t="n"/>
      <c r="G33" s="71" t="n"/>
      <c r="H33" s="71" t="n"/>
      <c r="I33" s="71" t="n"/>
      <c r="J33" s="71" t="n"/>
      <c r="K33" s="71" t="n"/>
      <c r="L33" s="71" t="n"/>
      <c r="M33" s="71" t="n"/>
      <c r="N33" s="78" t="n"/>
      <c r="O33" s="71" t="n"/>
      <c r="P33" s="71" t="n"/>
      <c r="Q33" s="71" t="n"/>
      <c r="R33" s="71" t="n"/>
      <c r="S33" s="71" t="n"/>
      <c r="T33" s="71" t="n"/>
      <c r="U33" s="71" t="n"/>
      <c r="V33" s="71" t="n"/>
      <c r="W33" s="71" t="n"/>
      <c r="X33" s="71" t="n"/>
      <c r="Y33" s="71" t="n"/>
      <c r="Z33" s="71" t="n"/>
      <c r="AA33" s="71" t="n"/>
      <c r="AB33" s="71" t="n"/>
      <c r="AC33" s="71" t="n"/>
      <c r="AD33" s="71" t="n"/>
      <c r="AE33" s="71" t="n"/>
      <c r="AF33" s="71" t="n"/>
      <c r="AG33" s="72" t="n"/>
    </row>
    <row r="34">
      <c r="A34" s="75" t="inlineStr">
        <is>
          <t>mutant blast</t>
        </is>
      </c>
      <c r="B34" s="74">
        <f>IFERROR(ROUND(AVERAGE(C34:$AA34),2),"")</f>
        <v/>
      </c>
      <c r="C34" s="75" t="n">
        <v>10</v>
      </c>
      <c r="D34" s="75" t="n">
        <v>6.5</v>
      </c>
      <c r="E34" s="75" t="n"/>
      <c r="F34" s="75" t="n"/>
      <c r="G34" s="75" t="n">
        <v>8</v>
      </c>
      <c r="H34" s="75" t="n"/>
      <c r="I34" s="75" t="n"/>
      <c r="J34" s="75" t="n"/>
      <c r="K34" s="75" t="n"/>
      <c r="L34" s="75" t="n"/>
      <c r="M34" s="75" t="n"/>
      <c r="N34" s="75" t="n"/>
      <c r="O34" s="75" t="n">
        <v>7</v>
      </c>
      <c r="P34" s="75" t="n">
        <v>3</v>
      </c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  <c r="AA34" s="75" t="n"/>
      <c r="AB34" s="75" t="n"/>
      <c r="AC34" s="75" t="n"/>
      <c r="AD34" s="75" t="n"/>
      <c r="AE34" s="75" t="n"/>
      <c r="AF34" s="75">
        <f>IF(COUNT(C34:AA34)=0,"",COUNT(C34:AA34))</f>
        <v/>
      </c>
      <c r="AG34" s="74" t="n"/>
    </row>
    <row r="35">
      <c r="A35" s="75" t="inlineStr">
        <is>
          <t>jako w piekle tak i na ziemi</t>
        </is>
      </c>
      <c r="B35" s="74">
        <f>IFERROR(ROUND(AVERAGE(C35:$AA35),2),"")</f>
        <v/>
      </c>
      <c r="C35" s="75" t="n">
        <v>6</v>
      </c>
      <c r="D35" s="75" t="n">
        <v>7</v>
      </c>
      <c r="E35" s="75" t="n"/>
      <c r="F35" s="75" t="n">
        <v>6</v>
      </c>
      <c r="G35" s="75" t="n">
        <v>8</v>
      </c>
      <c r="H35" s="75" t="n">
        <v>6</v>
      </c>
      <c r="I35" s="75" t="n"/>
      <c r="J35" s="75" t="n"/>
      <c r="K35" s="75" t="n"/>
      <c r="L35" s="75" t="n"/>
      <c r="M35" s="75" t="n"/>
      <c r="N35" s="75" t="n"/>
      <c r="O35" s="75" t="n">
        <v>7</v>
      </c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  <c r="AA35" s="75" t="n"/>
      <c r="AB35" s="75" t="n"/>
      <c r="AC35" s="75" t="n"/>
      <c r="AD35" s="75" t="n"/>
      <c r="AE35" s="75" t="n"/>
      <c r="AF35" s="75">
        <f>IF(COUNT(C35:AA35)=0,"",COUNT(C35:AA35))</f>
        <v/>
      </c>
      <c r="AG35" s="74" t="n"/>
    </row>
    <row r="36">
      <c r="A36" s="75" t="n"/>
      <c r="B36" s="74">
        <f>IFERROR(ROUND(AVERAGE(C36:BG36),2),"")</f>
        <v/>
      </c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  <c r="AA36" s="75" t="n"/>
      <c r="AB36" s="75" t="n"/>
      <c r="AC36" s="75" t="n"/>
      <c r="AD36" s="75" t="n"/>
      <c r="AE36" s="75" t="n"/>
      <c r="AF36" s="75">
        <f>IF(COUNT(C36:AA36)=0,"",COUNT(C36:AA36))</f>
        <v/>
      </c>
      <c r="AG36" s="74" t="n"/>
    </row>
    <row r="37">
      <c r="A37" s="71" t="inlineStr">
        <is>
          <t>Średnia nocy</t>
        </is>
      </c>
      <c r="B37" s="72" t="n"/>
      <c r="C37" s="71" t="n"/>
      <c r="D37" s="71" t="n"/>
      <c r="E37" s="71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71" t="n"/>
      <c r="P37" s="71" t="n"/>
      <c r="Q37" s="71" t="n"/>
      <c r="R37" s="71" t="n"/>
      <c r="S37" s="71" t="n"/>
      <c r="T37" s="71" t="n"/>
      <c r="U37" s="71" t="n"/>
      <c r="V37" s="71" t="n"/>
      <c r="W37" s="71" t="n"/>
      <c r="X37" s="71" t="n"/>
      <c r="Y37" s="71" t="n"/>
      <c r="Z37" s="71" t="n"/>
      <c r="AA37" s="71" t="n"/>
      <c r="AB37" s="71" t="n"/>
      <c r="AC37" s="71" t="n"/>
      <c r="AD37" s="71" t="n"/>
      <c r="AE37" s="71" t="n"/>
      <c r="AF37" s="71" t="n"/>
      <c r="AG37" s="72" t="n"/>
    </row>
    <row r="38">
      <c r="A38" s="75" t="inlineStr">
        <is>
          <t>dont breathe</t>
        </is>
      </c>
      <c r="B38" s="74">
        <f>IFERROR(ROUND(AVERAGE(C38:$AA38),2),"")</f>
        <v/>
      </c>
      <c r="C38" s="75" t="n">
        <v>5.5</v>
      </c>
      <c r="D38" s="75" t="n">
        <v>6</v>
      </c>
      <c r="E38" s="75" t="n">
        <v>6</v>
      </c>
      <c r="F38" s="75" t="n"/>
      <c r="G38" s="75" t="n">
        <v>7</v>
      </c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>
        <v>6</v>
      </c>
      <c r="Q38" s="75" t="n"/>
      <c r="R38" s="75" t="n"/>
      <c r="S38" s="75" t="n"/>
      <c r="T38" s="75" t="n"/>
      <c r="U38" s="75" t="n">
        <v>6</v>
      </c>
      <c r="V38" s="75" t="n"/>
      <c r="W38" s="75" t="n"/>
      <c r="X38" s="75" t="n"/>
      <c r="Y38" s="75" t="n"/>
      <c r="Z38" s="75" t="n"/>
      <c r="AA38" s="75" t="n"/>
      <c r="AB38" s="75" t="n"/>
      <c r="AC38" s="75" t="n"/>
      <c r="AD38" s="75" t="n"/>
      <c r="AE38" s="75" t="n"/>
      <c r="AF38" s="75">
        <f>IF(COUNT(C38:U38)=0,"",COUNT(C38:U38))</f>
        <v/>
      </c>
      <c r="AG38" s="74" t="n"/>
    </row>
    <row r="39">
      <c r="A39" s="79" t="inlineStr">
        <is>
          <t>juan of the dead</t>
        </is>
      </c>
      <c r="B39" s="74">
        <f>IFERROR(ROUND(AVERAGE(C39:$AA39),2),"")</f>
        <v/>
      </c>
      <c r="C39" s="75" t="n">
        <v>10</v>
      </c>
      <c r="D39" s="75" t="n">
        <v>8</v>
      </c>
      <c r="E39" s="75" t="n"/>
      <c r="F39" s="75" t="n"/>
      <c r="G39" s="75" t="n">
        <v>10</v>
      </c>
      <c r="H39" s="75" t="n">
        <v>9</v>
      </c>
      <c r="I39" s="75" t="n"/>
      <c r="J39" s="75" t="n"/>
      <c r="K39" s="75" t="n"/>
      <c r="L39" s="75" t="n"/>
      <c r="M39" s="75" t="n"/>
      <c r="N39" s="75" t="n"/>
      <c r="O39" s="75" t="n"/>
      <c r="P39" s="75" t="n">
        <v>10</v>
      </c>
      <c r="Q39" s="75" t="n"/>
      <c r="R39" s="75" t="n"/>
      <c r="S39" s="75" t="n"/>
      <c r="T39" s="75" t="n"/>
      <c r="U39" s="75" t="n">
        <v>10</v>
      </c>
      <c r="V39" s="75" t="n"/>
      <c r="W39" s="75" t="n"/>
      <c r="X39" s="75" t="n"/>
      <c r="Y39" s="75" t="n"/>
      <c r="Z39" s="75" t="n"/>
      <c r="AA39" s="75" t="n"/>
      <c r="AB39" s="75" t="n"/>
      <c r="AC39" s="75" t="n"/>
      <c r="AD39" s="75" t="n"/>
      <c r="AE39" s="75" t="n"/>
      <c r="AF39" s="75">
        <f>IF(COUNT(C39:U39)=0,"",COUNT(C39:U39))</f>
        <v/>
      </c>
      <c r="AG39" s="74" t="n"/>
    </row>
    <row r="40">
      <c r="A40" s="75" t="n"/>
      <c r="B40" s="74">
        <f>IFERROR(ROUND(AVERAGE(C40:BG40),2),"")</f>
        <v/>
      </c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  <c r="AA40" s="75" t="n"/>
      <c r="AB40" s="75" t="n"/>
      <c r="AC40" s="75" t="n"/>
      <c r="AD40" s="75" t="n"/>
      <c r="AE40" s="75" t="n"/>
      <c r="AF40" s="75">
        <f>IF(COUNT(C40:U40)=0,"",COUNT(C40:U40))</f>
        <v/>
      </c>
      <c r="AG40" s="74" t="n"/>
    </row>
    <row r="41">
      <c r="A41" s="71" t="inlineStr">
        <is>
          <t>Średnia nocy</t>
        </is>
      </c>
      <c r="B41" s="72" t="n"/>
      <c r="C41" s="71" t="n"/>
      <c r="D41" s="71" t="n"/>
      <c r="E41" s="7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71" t="n"/>
      <c r="R41" s="71" t="n"/>
      <c r="S41" s="71" t="n"/>
      <c r="T41" s="71" t="n"/>
      <c r="U41" s="71" t="n"/>
      <c r="V41" s="71" t="n"/>
      <c r="W41" s="71" t="n"/>
      <c r="X41" s="71" t="n"/>
      <c r="Y41" s="71" t="n"/>
      <c r="Z41" s="71" t="n"/>
      <c r="AA41" s="71" t="n"/>
      <c r="AB41" s="71" t="n"/>
      <c r="AC41" s="71" t="n"/>
      <c r="AD41" s="71" t="n"/>
      <c r="AE41" s="71" t="n"/>
      <c r="AF41" s="71" t="n"/>
      <c r="AG41" s="72" t="n"/>
    </row>
    <row r="42">
      <c r="A42" s="75" t="inlineStr">
        <is>
          <t>Christmas bloody Christmas</t>
        </is>
      </c>
      <c r="B42" s="74">
        <f>IFERROR(ROUND(AVERAGE(C42:AA42),2),"")</f>
        <v/>
      </c>
      <c r="C42" s="75" t="n">
        <v>1</v>
      </c>
      <c r="D42" s="75" t="n">
        <v>1</v>
      </c>
      <c r="E42" s="75" t="n">
        <v>3</v>
      </c>
      <c r="F42" s="75" t="n"/>
      <c r="G42" s="75" t="n">
        <v>3</v>
      </c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>
        <v>2</v>
      </c>
      <c r="Q42" s="75" t="n"/>
      <c r="R42" s="75" t="n">
        <v>1.5</v>
      </c>
      <c r="S42" s="75" t="n"/>
      <c r="T42" s="75" t="n"/>
      <c r="U42" s="75" t="n"/>
      <c r="V42" s="75" t="n"/>
      <c r="W42" s="75" t="n"/>
      <c r="X42" s="75" t="n"/>
      <c r="Y42" s="75" t="n"/>
      <c r="Z42" s="75" t="n"/>
      <c r="AA42" s="75" t="n"/>
      <c r="AB42" s="75" t="n"/>
      <c r="AC42" s="75" t="n"/>
      <c r="AD42" s="75" t="n"/>
      <c r="AE42" s="75" t="n"/>
      <c r="AF42" s="75">
        <f>IF(COUNT(C42:U42)=0,"",COUNT(C42:U42))</f>
        <v/>
      </c>
      <c r="AG42" s="74" t="n"/>
    </row>
    <row r="43">
      <c r="A43" s="75" t="inlineStr">
        <is>
          <t>Smile</t>
        </is>
      </c>
      <c r="B43" s="74">
        <f>IFERROR(ROUND(AVERAGE(C43:AA43),2),"")</f>
        <v/>
      </c>
      <c r="C43" s="75" t="n">
        <v>7.5</v>
      </c>
      <c r="D43" s="75" t="n">
        <v>7</v>
      </c>
      <c r="E43" s="75" t="n">
        <v>8.5</v>
      </c>
      <c r="F43" s="75" t="n"/>
      <c r="G43" s="75" t="n">
        <v>8</v>
      </c>
      <c r="H43" s="75" t="n">
        <v>7</v>
      </c>
      <c r="I43" s="75" t="n"/>
      <c r="J43" s="75" t="n"/>
      <c r="K43" s="75" t="n"/>
      <c r="L43" s="75" t="n"/>
      <c r="M43" s="75" t="n"/>
      <c r="N43" s="75" t="n"/>
      <c r="O43" s="75" t="n"/>
      <c r="P43" s="75" t="n">
        <v>7</v>
      </c>
      <c r="Q43" s="75" t="n"/>
      <c r="R43" s="75" t="n">
        <v>7</v>
      </c>
      <c r="S43" s="75" t="n"/>
      <c r="T43" s="75" t="n">
        <v>6</v>
      </c>
      <c r="U43" s="75" t="n"/>
      <c r="V43" s="75" t="n"/>
      <c r="W43" s="75" t="n"/>
      <c r="X43" s="75" t="n"/>
      <c r="Y43" s="75" t="n"/>
      <c r="Z43" s="75" t="n"/>
      <c r="AA43" s="75" t="n"/>
      <c r="AB43" s="75" t="n"/>
      <c r="AC43" s="75" t="n"/>
      <c r="AD43" s="75" t="n"/>
      <c r="AE43" s="75" t="n"/>
      <c r="AF43" s="75">
        <f>IF(COUNT(C43:U43)=0,"",COUNT(C43:U43))</f>
        <v/>
      </c>
      <c r="AG43" s="74" t="n"/>
    </row>
    <row r="44">
      <c r="A44" s="75" t="inlineStr">
        <is>
          <t>Deadstream</t>
        </is>
      </c>
      <c r="B44" s="74">
        <f>IFERROR(ROUND(AVERAGE(C44:AA44),2),"")</f>
        <v/>
      </c>
      <c r="C44" s="75" t="n">
        <v>10</v>
      </c>
      <c r="D44" s="75" t="n">
        <v>9.5</v>
      </c>
      <c r="E44" s="75" t="n">
        <v>10</v>
      </c>
      <c r="F44" s="75" t="n"/>
      <c r="G44" s="75" t="n">
        <v>8</v>
      </c>
      <c r="H44" s="75" t="n">
        <v>9</v>
      </c>
      <c r="I44" s="75" t="n"/>
      <c r="J44" s="75" t="n"/>
      <c r="K44" s="75" t="n"/>
      <c r="L44" s="75" t="n"/>
      <c r="M44" s="75" t="n"/>
      <c r="N44" s="75" t="n"/>
      <c r="O44" s="75" t="n"/>
      <c r="P44" s="75" t="n">
        <v>7</v>
      </c>
      <c r="Q44" s="75" t="n"/>
      <c r="R44" s="75" t="n"/>
      <c r="S44" s="75" t="n"/>
      <c r="T44" s="75" t="n">
        <v>9</v>
      </c>
      <c r="U44" s="75" t="n"/>
      <c r="V44" s="75" t="n"/>
      <c r="W44" s="75" t="n"/>
      <c r="X44" s="75" t="n"/>
      <c r="Y44" s="75" t="n"/>
      <c r="Z44" s="75" t="n"/>
      <c r="AA44" s="75" t="n"/>
      <c r="AB44" s="75" t="n"/>
      <c r="AC44" s="75" t="n"/>
      <c r="AD44" s="75" t="n"/>
      <c r="AE44" s="75" t="n"/>
      <c r="AF44" s="75">
        <f>IF(COUNT(C44:U44)=0,"",COUNT(C44:U44))</f>
        <v/>
      </c>
      <c r="AG44" s="74" t="n"/>
    </row>
    <row r="45">
      <c r="A45" s="71" t="inlineStr">
        <is>
          <t>Średnia nocy</t>
        </is>
      </c>
      <c r="B45" s="72" t="n"/>
      <c r="C45" s="71" t="n"/>
      <c r="D45" s="71" t="n"/>
      <c r="E45" s="71" t="n"/>
      <c r="F45" s="71" t="n"/>
      <c r="G45" s="71" t="n"/>
      <c r="H45" s="71" t="n"/>
      <c r="I45" s="71" t="n"/>
      <c r="J45" s="71" t="n"/>
      <c r="K45" s="71" t="n"/>
      <c r="L45" s="71" t="n"/>
      <c r="M45" s="71" t="n"/>
      <c r="N45" s="71" t="n"/>
      <c r="O45" s="71" t="n"/>
      <c r="P45" s="71" t="n"/>
      <c r="Q45" s="71" t="n"/>
      <c r="R45" s="71" t="n"/>
      <c r="S45" s="71" t="n"/>
      <c r="T45" s="71" t="n"/>
      <c r="U45" s="71" t="n"/>
      <c r="V45" s="71" t="n"/>
      <c r="W45" s="71" t="n"/>
      <c r="X45" s="71" t="n"/>
      <c r="Y45" s="71" t="n"/>
      <c r="Z45" s="71" t="n"/>
      <c r="AA45" s="71" t="n"/>
      <c r="AB45" s="71" t="n"/>
      <c r="AC45" s="71" t="n"/>
      <c r="AD45" s="71" t="n"/>
      <c r="AE45" s="71" t="n"/>
      <c r="AF45" s="71" t="n"/>
      <c r="AG45" s="72" t="n"/>
    </row>
    <row r="46">
      <c r="A46" s="75" t="inlineStr">
        <is>
          <t>bunny loves you</t>
        </is>
      </c>
      <c r="B46" s="74">
        <f>IFERROR(ROUND(AVERAGE(C46:AA46),2),"")</f>
        <v/>
      </c>
      <c r="C46" s="75" t="n">
        <v>9</v>
      </c>
      <c r="D46" s="75" t="n">
        <v>7</v>
      </c>
      <c r="E46" s="75" t="n">
        <v>6.5</v>
      </c>
      <c r="F46" s="75" t="n">
        <v>5</v>
      </c>
      <c r="G46" s="75" t="n">
        <v>4.5</v>
      </c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>
        <v>4</v>
      </c>
      <c r="Q46" s="75" t="n"/>
      <c r="R46" s="75" t="n"/>
      <c r="S46" s="75" t="n"/>
      <c r="T46" s="75" t="n"/>
      <c r="U46" s="75" t="n">
        <v>3</v>
      </c>
      <c r="V46" s="75" t="n"/>
      <c r="W46" s="75" t="n"/>
      <c r="X46" s="75" t="n"/>
      <c r="Y46" s="75" t="n"/>
      <c r="Z46" s="75" t="n">
        <v>5</v>
      </c>
      <c r="AA46" s="75" t="n"/>
      <c r="AB46" s="75" t="n"/>
      <c r="AC46" s="75" t="n"/>
      <c r="AD46" s="75" t="n"/>
      <c r="AE46" s="75" t="n"/>
      <c r="AF46" s="75">
        <f>IF(COUNT(C46:AB46)=0,"",COUNT(C46:AB46))</f>
        <v/>
      </c>
      <c r="AG46" s="74" t="n"/>
    </row>
    <row r="47">
      <c r="A47" s="75" t="inlineStr">
        <is>
          <t>satans slaves 1</t>
        </is>
      </c>
      <c r="B47" s="74">
        <f>IFERROR(ROUND(AVERAGE(C47:AA47),2),"")</f>
        <v/>
      </c>
      <c r="C47" s="75" t="n">
        <v>5</v>
      </c>
      <c r="D47" s="75" t="n"/>
      <c r="E47" s="75" t="n">
        <v>2</v>
      </c>
      <c r="F47" s="75" t="n">
        <v>4</v>
      </c>
      <c r="G47" s="75" t="n">
        <v>5.5</v>
      </c>
      <c r="H47" s="75" t="n">
        <v>4</v>
      </c>
      <c r="I47" s="75" t="n"/>
      <c r="J47" s="75" t="n"/>
      <c r="K47" s="75" t="n"/>
      <c r="L47" s="75" t="n"/>
      <c r="M47" s="75" t="n"/>
      <c r="N47" s="75" t="n"/>
      <c r="O47" s="75" t="n"/>
      <c r="P47" s="75" t="n">
        <v>5</v>
      </c>
      <c r="Q47" s="75" t="n"/>
      <c r="R47" s="75" t="n"/>
      <c r="S47" s="75" t="n"/>
      <c r="T47" s="75" t="n">
        <v>4.5</v>
      </c>
      <c r="U47" s="75" t="n">
        <v>7.5</v>
      </c>
      <c r="V47" s="75" t="n"/>
      <c r="W47" s="75" t="n"/>
      <c r="X47" s="75" t="n"/>
      <c r="Y47" s="75" t="n"/>
      <c r="Z47" s="75" t="n">
        <v>3</v>
      </c>
      <c r="AA47" s="75" t="n"/>
      <c r="AB47" s="75" t="n"/>
      <c r="AC47" s="75" t="n"/>
      <c r="AD47" s="75" t="n"/>
      <c r="AE47" s="75" t="n"/>
      <c r="AF47" s="75">
        <f>IF(COUNT(C47:AB47)=0,"",COUNT(C47:AB47))</f>
        <v/>
      </c>
      <c r="AG47" s="74" t="n"/>
    </row>
    <row r="48">
      <c r="A48" s="75" t="inlineStr">
        <is>
          <t>satans slaves 2</t>
        </is>
      </c>
      <c r="B48" s="74">
        <f>IFERROR(ROUND(AVERAGE(C48:AA48),2),"")</f>
        <v/>
      </c>
      <c r="C48" s="75" t="n">
        <v>6.5</v>
      </c>
      <c r="D48" s="75" t="n"/>
      <c r="E48" s="75" t="n">
        <v>8</v>
      </c>
      <c r="F48" s="75" t="n">
        <v>7.5</v>
      </c>
      <c r="G48" s="75" t="n">
        <v>7</v>
      </c>
      <c r="H48" s="75" t="n">
        <v>8</v>
      </c>
      <c r="I48" s="75" t="n"/>
      <c r="J48" s="75" t="n"/>
      <c r="K48" s="75" t="n"/>
      <c r="L48" s="75" t="n"/>
      <c r="M48" s="75" t="n"/>
      <c r="N48" s="75" t="n"/>
      <c r="O48" s="75" t="n"/>
      <c r="P48" s="75" t="n">
        <v>7</v>
      </c>
      <c r="Q48" s="75" t="n"/>
      <c r="R48" s="75" t="n"/>
      <c r="S48" s="75" t="n"/>
      <c r="T48" s="75" t="n">
        <v>7</v>
      </c>
      <c r="U48" s="75" t="n">
        <v>10</v>
      </c>
      <c r="V48" s="75" t="n"/>
      <c r="W48" s="75" t="n"/>
      <c r="X48" s="75" t="n"/>
      <c r="Y48" s="75" t="n"/>
      <c r="Z48" s="75" t="n">
        <v>6</v>
      </c>
      <c r="AA48" s="75" t="n"/>
      <c r="AB48" s="75" t="n"/>
      <c r="AC48" s="75" t="n"/>
      <c r="AD48" s="75" t="n"/>
      <c r="AE48" s="75" t="n"/>
      <c r="AF48" s="75">
        <f>IF(COUNT(C48:AB48)=0,"",COUNT(C48:AB48))</f>
        <v/>
      </c>
      <c r="AG48" s="74" t="n"/>
    </row>
    <row r="49">
      <c r="A49" s="71" t="inlineStr">
        <is>
          <t>Średnia nocy</t>
        </is>
      </c>
      <c r="B49" s="72" t="n"/>
      <c r="C49" s="71" t="n"/>
      <c r="D49" s="71" t="n"/>
      <c r="E49" s="71" t="n"/>
      <c r="F49" s="71" t="n"/>
      <c r="G49" s="71" t="n"/>
      <c r="H49" s="71" t="n"/>
      <c r="I49" s="71" t="n"/>
      <c r="J49" s="71" t="n"/>
      <c r="K49" s="71" t="n"/>
      <c r="L49" s="71" t="n"/>
      <c r="M49" s="71" t="n"/>
      <c r="N49" s="71" t="n"/>
      <c r="O49" s="71" t="n"/>
      <c r="P49" s="71" t="n"/>
      <c r="Q49" s="71" t="n"/>
      <c r="R49" s="71" t="n"/>
      <c r="S49" s="71" t="n"/>
      <c r="T49" s="71" t="n"/>
      <c r="U49" s="71" t="n"/>
      <c r="V49" s="71" t="n"/>
      <c r="W49" s="71" t="n"/>
      <c r="X49" s="71" t="n"/>
      <c r="Y49" s="71" t="n"/>
      <c r="Z49" s="71" t="n"/>
      <c r="AA49" s="71" t="n"/>
      <c r="AB49" s="71" t="n"/>
      <c r="AC49" s="71" t="n"/>
      <c r="AD49" s="71" t="n"/>
      <c r="AE49" s="71" t="n"/>
      <c r="AF49" s="71" t="n"/>
      <c r="AG49" s="72" t="n"/>
    </row>
    <row r="50">
      <c r="A50" s="75" t="inlineStr">
        <is>
          <t>better watch out</t>
        </is>
      </c>
      <c r="B50" s="74">
        <f>IFERROR(ROUND(AVERAGE(C50:AA50),2),"")</f>
        <v/>
      </c>
      <c r="C50" s="75" t="n">
        <v>9</v>
      </c>
      <c r="D50" s="75" t="n">
        <v>7</v>
      </c>
      <c r="E50" s="75" t="n"/>
      <c r="F50" s="75" t="n"/>
      <c r="G50" s="75" t="n">
        <v>6</v>
      </c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>
        <v>6</v>
      </c>
      <c r="Q50" s="75" t="n"/>
      <c r="R50" s="75" t="n"/>
      <c r="S50" s="75" t="n"/>
      <c r="T50" s="75" t="n"/>
      <c r="U50" s="75" t="n">
        <v>10</v>
      </c>
      <c r="V50" s="75" t="n"/>
      <c r="W50" s="75" t="n"/>
      <c r="X50" s="75" t="n"/>
      <c r="Y50" s="75" t="n"/>
      <c r="Z50" s="75" t="n">
        <v>8</v>
      </c>
      <c r="AA50" s="75" t="n"/>
      <c r="AB50" s="75" t="n"/>
      <c r="AC50" s="75" t="n"/>
      <c r="AD50" s="75" t="n"/>
      <c r="AE50" s="75" t="n"/>
      <c r="AF50" s="75">
        <f>IF(COUNT(C50:U50)=0,"",COUNT(C50:AB50))</f>
        <v/>
      </c>
      <c r="AG50" s="74" t="n"/>
    </row>
    <row r="51">
      <c r="A51" s="75" t="inlineStr">
        <is>
          <t>nina forever</t>
        </is>
      </c>
      <c r="B51" s="74">
        <f>IFERROR(ROUND(AVERAGE(C51:AA51),2),"")</f>
        <v/>
      </c>
      <c r="C51" s="75" t="n">
        <v>9</v>
      </c>
      <c r="D51" s="75" t="n">
        <v>6</v>
      </c>
      <c r="E51" s="75" t="n"/>
      <c r="F51" s="75" t="n"/>
      <c r="G51" s="75" t="n">
        <v>6</v>
      </c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>
        <v>6</v>
      </c>
      <c r="Q51" s="75" t="n"/>
      <c r="R51" s="75" t="n"/>
      <c r="S51" s="75" t="n"/>
      <c r="T51" s="75" t="n"/>
      <c r="U51" s="75" t="n">
        <v>6</v>
      </c>
      <c r="V51" s="75" t="n"/>
      <c r="W51" s="75" t="n"/>
      <c r="X51" s="75" t="n"/>
      <c r="Y51" s="75" t="n"/>
      <c r="Z51" s="75" t="n">
        <v>7</v>
      </c>
      <c r="AA51" s="75" t="n"/>
      <c r="AB51" s="75" t="n"/>
      <c r="AC51" s="75" t="n"/>
      <c r="AD51" s="75" t="n"/>
      <c r="AE51" s="75" t="n"/>
      <c r="AF51" s="75">
        <f>IF(COUNT(C51:U51)=0,"",COUNT(C51:AB51))</f>
        <v/>
      </c>
      <c r="AG51" s="74" t="n"/>
    </row>
    <row r="52">
      <c r="A52" s="75" t="inlineStr">
        <is>
          <t xml:space="preserve">you wont be alone </t>
        </is>
      </c>
      <c r="B52" s="74">
        <f>IFERROR(ROUND(AVERAGE(C52:AA52),2),"")</f>
        <v/>
      </c>
      <c r="C52" s="75" t="n">
        <v>10</v>
      </c>
      <c r="D52" s="75" t="n">
        <v>3</v>
      </c>
      <c r="E52" s="75" t="n"/>
      <c r="F52" s="75" t="n"/>
      <c r="G52" s="75" t="n">
        <v>6</v>
      </c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>
        <v>10</v>
      </c>
      <c r="Q52" s="75" t="n"/>
      <c r="R52" s="75" t="n"/>
      <c r="S52" s="75" t="n"/>
      <c r="T52" s="75" t="n"/>
      <c r="U52" s="75" t="n">
        <v>3</v>
      </c>
      <c r="V52" s="75" t="n"/>
      <c r="W52" s="75" t="n"/>
      <c r="X52" s="75" t="n"/>
      <c r="Y52" s="75" t="n"/>
      <c r="Z52" s="75" t="n">
        <v>4</v>
      </c>
      <c r="AA52" s="75" t="n"/>
      <c r="AB52" s="75" t="n"/>
      <c r="AC52" s="75" t="n"/>
      <c r="AD52" s="75" t="n"/>
      <c r="AE52" s="75" t="n"/>
      <c r="AF52" s="75">
        <f>IF(COUNT(C52:U52)=0,"",COUNT(C52:AB52))</f>
        <v/>
      </c>
      <c r="AG52" s="74" t="n"/>
    </row>
    <row r="53">
      <c r="A53" s="71" t="inlineStr">
        <is>
          <t>Średnia nocy</t>
        </is>
      </c>
      <c r="B53" s="72" t="n"/>
      <c r="C53" s="71" t="n"/>
      <c r="D53" s="71" t="n"/>
      <c r="E53" s="71" t="n"/>
      <c r="F53" s="71" t="n"/>
      <c r="G53" s="71" t="n"/>
      <c r="H53" s="71" t="n"/>
      <c r="I53" s="71" t="n"/>
      <c r="J53" s="71" t="n"/>
      <c r="K53" s="71" t="n"/>
      <c r="L53" s="71" t="n"/>
      <c r="M53" s="71" t="n"/>
      <c r="N53" s="71" t="n"/>
      <c r="O53" s="71" t="n"/>
      <c r="P53" s="71" t="n"/>
      <c r="Q53" s="71" t="n"/>
      <c r="R53" s="71" t="n"/>
      <c r="S53" s="71" t="n"/>
      <c r="T53" s="71" t="n"/>
      <c r="U53" s="71" t="n"/>
      <c r="V53" s="71" t="n"/>
      <c r="W53" s="71" t="n"/>
      <c r="X53" s="71" t="n"/>
      <c r="Y53" s="71" t="n"/>
      <c r="Z53" s="71" t="n"/>
      <c r="AA53" s="71" t="n"/>
      <c r="AB53" s="71" t="n"/>
      <c r="AC53" s="71" t="n"/>
      <c r="AD53" s="71" t="n"/>
      <c r="AE53" s="71" t="n"/>
      <c r="AF53" s="71" t="n"/>
      <c r="AG53" s="72" t="n"/>
    </row>
    <row r="54">
      <c r="A54" s="75" t="inlineStr">
        <is>
          <t>the menu</t>
        </is>
      </c>
      <c r="B54" s="74">
        <f>IFERROR(ROUND(AVERAGE(C54:AB54),2),"")</f>
        <v/>
      </c>
      <c r="C54" s="75" t="n">
        <v>9</v>
      </c>
      <c r="D54" s="75" t="n"/>
      <c r="E54" s="75" t="n">
        <v>9</v>
      </c>
      <c r="F54" s="75" t="n">
        <v>7</v>
      </c>
      <c r="G54" s="75" t="n">
        <v>10</v>
      </c>
      <c r="H54" s="75" t="n"/>
      <c r="I54" s="75" t="n"/>
      <c r="J54" s="75" t="n">
        <v>8</v>
      </c>
      <c r="K54" s="75" t="n">
        <v>7</v>
      </c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>
        <v>10</v>
      </c>
      <c r="V54" s="75" t="n"/>
      <c r="W54" s="75" t="n"/>
      <c r="X54" s="75" t="n"/>
      <c r="Y54" s="75" t="n"/>
      <c r="Z54" s="75" t="n">
        <v>7</v>
      </c>
      <c r="AA54" s="75" t="n">
        <v>7</v>
      </c>
      <c r="AB54" s="75" t="n">
        <v>8</v>
      </c>
      <c r="AC54" s="75" t="n"/>
      <c r="AD54" s="75" t="n"/>
      <c r="AE54" s="75" t="n"/>
      <c r="AF54" s="75">
        <f>IF(COUNT(C54:U54)=0,"",COUNT(C54:AB54))</f>
        <v/>
      </c>
      <c r="AG54" s="74" t="n"/>
    </row>
    <row r="55">
      <c r="A55" s="75" t="inlineStr">
        <is>
          <t>tkyou ghoul</t>
        </is>
      </c>
      <c r="B55" s="74">
        <f>IFERROR(ROUND(AVERAGE(C55:AB55),2),"")</f>
        <v/>
      </c>
      <c r="C55" s="75" t="n">
        <v>6</v>
      </c>
      <c r="D55" s="75" t="n"/>
      <c r="E55" s="75" t="n">
        <v>1</v>
      </c>
      <c r="F55" s="75" t="n"/>
      <c r="G55" s="75" t="n">
        <v>3.5</v>
      </c>
      <c r="H55" s="75" t="n"/>
      <c r="I55" s="75" t="n"/>
      <c r="J55" s="75" t="n"/>
      <c r="K55" s="75" t="n">
        <v>7</v>
      </c>
      <c r="L55" s="75" t="n"/>
      <c r="M55" s="75" t="n"/>
      <c r="N55" s="75" t="n"/>
      <c r="O55" s="75" t="n"/>
      <c r="P55" s="75" t="n">
        <v>2</v>
      </c>
      <c r="Q55" s="75" t="n"/>
      <c r="R55" s="75" t="n"/>
      <c r="S55" s="75" t="n"/>
      <c r="T55" s="75" t="n">
        <v>5</v>
      </c>
      <c r="U55" s="75" t="n">
        <v>2</v>
      </c>
      <c r="V55" s="75" t="n"/>
      <c r="W55" s="75" t="n"/>
      <c r="X55" s="75" t="n"/>
      <c r="Y55" s="75" t="n"/>
      <c r="Z55" s="75" t="n">
        <v>3</v>
      </c>
      <c r="AA55" s="75" t="n">
        <v>5.5</v>
      </c>
      <c r="AB55" s="75" t="n"/>
      <c r="AC55" s="75" t="n"/>
      <c r="AD55" s="75" t="n"/>
      <c r="AE55" s="75" t="n"/>
      <c r="AF55" s="75">
        <f>IF(COUNT(C55:U55)=0,"",COUNT(C55:AB55))</f>
        <v/>
      </c>
      <c r="AG55" s="74" t="n"/>
    </row>
    <row r="56">
      <c r="A56" s="75" t="inlineStr">
        <is>
          <t>it comes at night</t>
        </is>
      </c>
      <c r="B56" s="74">
        <f>IFERROR(ROUND(AVERAGE(C56:AB56),2),"")</f>
        <v/>
      </c>
      <c r="C56" s="75" t="n">
        <v>8</v>
      </c>
      <c r="D56" s="75" t="n"/>
      <c r="E56" s="75" t="n">
        <v>2</v>
      </c>
      <c r="F56" s="75" t="n"/>
      <c r="G56" s="75" t="n">
        <v>6</v>
      </c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>
        <v>6</v>
      </c>
      <c r="Q56" s="75" t="n"/>
      <c r="R56" s="75" t="n"/>
      <c r="S56" s="75" t="n"/>
      <c r="T56" s="75" t="n">
        <v>6</v>
      </c>
      <c r="U56" s="75" t="n">
        <v>5.5</v>
      </c>
      <c r="V56" s="75" t="n"/>
      <c r="W56" s="75" t="n"/>
      <c r="X56" s="75" t="n"/>
      <c r="Y56" s="75" t="n"/>
      <c r="Z56" s="75" t="n">
        <v>6</v>
      </c>
      <c r="AA56" s="75" t="n">
        <v>5</v>
      </c>
      <c r="AB56" s="75" t="n"/>
      <c r="AC56" s="75" t="n"/>
      <c r="AD56" s="75" t="n"/>
      <c r="AE56" s="75" t="n"/>
      <c r="AF56" s="75">
        <f>IF(COUNT(C56:U56)=0,"",COUNT(C56:AB56))</f>
        <v/>
      </c>
      <c r="AG56" s="74" t="n"/>
    </row>
    <row r="57">
      <c r="A57" s="71" t="inlineStr">
        <is>
          <t>Średnia nocy</t>
        </is>
      </c>
      <c r="B57" s="72" t="n"/>
      <c r="C57" s="71" t="n"/>
      <c r="D57" s="71" t="n"/>
      <c r="E57" s="71" t="n"/>
      <c r="F57" s="71" t="n"/>
      <c r="G57" s="71" t="n"/>
      <c r="H57" s="71" t="n"/>
      <c r="I57" s="71" t="n"/>
      <c r="J57" s="71" t="n"/>
      <c r="K57" s="71" t="n"/>
      <c r="L57" s="71" t="n"/>
      <c r="M57" s="71" t="n"/>
      <c r="N57" s="71" t="n"/>
      <c r="O57" s="71" t="n"/>
      <c r="P57" s="71" t="n"/>
      <c r="Q57" s="71" t="n"/>
      <c r="R57" s="71" t="n"/>
      <c r="S57" s="71" t="n"/>
      <c r="T57" s="71" t="n"/>
      <c r="U57" s="71" t="n"/>
      <c r="V57" s="71" t="n"/>
      <c r="W57" s="71" t="n"/>
      <c r="X57" s="71" t="n"/>
      <c r="Y57" s="71" t="n"/>
      <c r="Z57" s="71" t="n"/>
      <c r="AA57" s="71" t="n"/>
      <c r="AB57" s="71" t="n"/>
      <c r="AC57" s="71" t="n"/>
      <c r="AD57" s="71" t="n"/>
      <c r="AE57" s="71" t="n"/>
      <c r="AF57" s="71" t="n"/>
      <c r="AG57" s="72" t="n"/>
    </row>
    <row r="58">
      <c r="A58" s="75" t="inlineStr">
        <is>
          <t>Zombieland</t>
        </is>
      </c>
      <c r="B58" s="74">
        <f>IFERROR(ROUND(AVERAGE(C58:AB58),2),"")</f>
        <v/>
      </c>
      <c r="C58" s="75" t="n">
        <v>7</v>
      </c>
      <c r="D58" s="75" t="n"/>
      <c r="E58" s="75" t="n">
        <v>4</v>
      </c>
      <c r="F58" s="75" t="n"/>
      <c r="G58" s="75" t="n">
        <v>8</v>
      </c>
      <c r="H58" s="75" t="n">
        <v>8</v>
      </c>
      <c r="I58" s="75" t="n"/>
      <c r="J58" s="75" t="n">
        <v>7</v>
      </c>
      <c r="K58" s="75" t="n"/>
      <c r="L58" s="75" t="n"/>
      <c r="M58" s="75" t="n"/>
      <c r="N58" s="75" t="n"/>
      <c r="O58" s="75" t="n">
        <v>8</v>
      </c>
      <c r="P58" s="75" t="n">
        <v>5</v>
      </c>
      <c r="Q58" s="75" t="n"/>
      <c r="R58" s="75" t="n"/>
      <c r="S58" s="75" t="n"/>
      <c r="T58" s="75" t="n">
        <v>7</v>
      </c>
      <c r="U58" s="75" t="n">
        <v>7.5</v>
      </c>
      <c r="V58" s="75" t="n"/>
      <c r="W58" s="75" t="n"/>
      <c r="X58" s="75" t="n">
        <v>10</v>
      </c>
      <c r="Y58" s="75" t="n"/>
      <c r="Z58" s="75" t="n">
        <v>7</v>
      </c>
      <c r="AA58" s="75" t="n">
        <v>6.5</v>
      </c>
      <c r="AB58" s="75" t="n">
        <v>6</v>
      </c>
      <c r="AC58" s="75" t="n"/>
      <c r="AD58" s="75" t="n"/>
      <c r="AE58" s="75" t="n"/>
      <c r="AF58" s="80">
        <f>IF(COUNT(C58:AB58)=0,"",COUNT(C58:AB58))</f>
        <v/>
      </c>
      <c r="AG58" s="74" t="n"/>
    </row>
    <row r="59">
      <c r="A59" s="75" t="inlineStr">
        <is>
          <t>Pearl</t>
        </is>
      </c>
      <c r="B59" s="74">
        <f>IFERROR(ROUND(AVERAGE(C59:AB59),2),"")</f>
        <v/>
      </c>
      <c r="C59" s="75" t="n">
        <v>9</v>
      </c>
      <c r="D59" s="75" t="n"/>
      <c r="E59" s="75" t="n">
        <v>9.5</v>
      </c>
      <c r="F59" s="75" t="n">
        <v>6</v>
      </c>
      <c r="G59" s="75" t="n">
        <v>9</v>
      </c>
      <c r="H59" s="75" t="n">
        <v>8</v>
      </c>
      <c r="I59" s="75" t="n"/>
      <c r="J59" s="75" t="n">
        <v>7</v>
      </c>
      <c r="K59" s="75" t="n"/>
      <c r="L59" s="75" t="n"/>
      <c r="M59" s="75" t="n"/>
      <c r="N59" s="75" t="n"/>
      <c r="O59" s="75" t="n">
        <v>6</v>
      </c>
      <c r="P59" s="75" t="n">
        <v>9</v>
      </c>
      <c r="Q59" s="75" t="n"/>
      <c r="R59" s="75" t="n"/>
      <c r="S59" s="75" t="n"/>
      <c r="T59" s="75" t="n">
        <v>10</v>
      </c>
      <c r="U59" s="75" t="n">
        <v>7</v>
      </c>
      <c r="V59" s="75" t="n"/>
      <c r="W59" s="75" t="n"/>
      <c r="X59" s="75" t="n"/>
      <c r="Y59" s="75" t="n"/>
      <c r="Z59" s="75" t="n">
        <v>10</v>
      </c>
      <c r="AA59" s="75" t="n">
        <v>9.5</v>
      </c>
      <c r="AB59" s="75" t="n">
        <v>6</v>
      </c>
      <c r="AC59" s="75" t="n"/>
      <c r="AD59" s="75" t="n"/>
      <c r="AE59" s="75" t="n"/>
      <c r="AF59" s="80">
        <f>IF(COUNT(C59:AB59)=0,"",COUNT(C59:AB59))</f>
        <v/>
      </c>
      <c r="AG59" s="74" t="n"/>
    </row>
    <row r="60">
      <c r="A60" s="75" t="inlineStr">
        <is>
          <t>Dashcam</t>
        </is>
      </c>
      <c r="B60" s="74">
        <f>IFERROR(ROUND(AVERAGE(C60:AB60),2),"")</f>
        <v/>
      </c>
      <c r="C60" s="75" t="n">
        <v>6.5</v>
      </c>
      <c r="D60" s="75" t="n"/>
      <c r="E60" s="75" t="n">
        <v>4</v>
      </c>
      <c r="F60" s="75" t="n"/>
      <c r="G60" s="75" t="n">
        <v>7</v>
      </c>
      <c r="H60" s="75" t="n">
        <v>4</v>
      </c>
      <c r="I60" s="75" t="n"/>
      <c r="J60" s="75" t="n"/>
      <c r="K60" s="75" t="n"/>
      <c r="L60" s="75" t="n"/>
      <c r="M60" s="75" t="n"/>
      <c r="N60" s="75" t="n"/>
      <c r="O60" s="75" t="n"/>
      <c r="P60" s="75" t="n">
        <v>6.5</v>
      </c>
      <c r="Q60" s="75" t="n"/>
      <c r="R60" s="75" t="n"/>
      <c r="S60" s="75" t="n"/>
      <c r="T60" s="75" t="n">
        <v>1</v>
      </c>
      <c r="U60" s="75" t="n"/>
      <c r="V60" s="75" t="n"/>
      <c r="W60" s="75" t="n"/>
      <c r="X60" s="75" t="n"/>
      <c r="Y60" s="75" t="n"/>
      <c r="Z60" s="75" t="n">
        <v>3</v>
      </c>
      <c r="AA60" s="75" t="n">
        <v>5</v>
      </c>
      <c r="AB60" s="75" t="n"/>
      <c r="AC60" s="75" t="n"/>
      <c r="AD60" s="75" t="n"/>
      <c r="AE60" s="75" t="n"/>
      <c r="AF60" s="80">
        <f>IF(COUNT(C60:AB60)=0,"",COUNT(C60:AB60))</f>
        <v/>
      </c>
      <c r="AG60" s="74" t="n"/>
    </row>
    <row r="61">
      <c r="A61" s="71" t="inlineStr">
        <is>
          <t>Średnia nocy</t>
        </is>
      </c>
      <c r="B61" s="72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1" t="n"/>
      <c r="P61" s="71" t="n"/>
      <c r="Q61" s="71" t="n"/>
      <c r="R61" s="71" t="n"/>
      <c r="S61" s="71" t="n"/>
      <c r="T61" s="71" t="n"/>
      <c r="U61" s="71" t="n"/>
      <c r="V61" s="71" t="n"/>
      <c r="W61" s="71" t="n"/>
      <c r="X61" s="71" t="n"/>
      <c r="Y61" s="71" t="n"/>
      <c r="Z61" s="71" t="n"/>
      <c r="AA61" s="71" t="n"/>
      <c r="AB61" s="71" t="n"/>
      <c r="AC61" s="71" t="n"/>
      <c r="AD61" s="71" t="n"/>
      <c r="AE61" s="71" t="n"/>
      <c r="AF61" s="71" t="n"/>
      <c r="AG61" s="72" t="n"/>
    </row>
    <row r="62">
      <c r="A62" s="75" t="inlineStr">
        <is>
          <t>zakon swietej agaty</t>
        </is>
      </c>
      <c r="B62" s="74">
        <f>IFERROR(ROUND(AVERAGE(C62:AB62),2),"")</f>
        <v/>
      </c>
      <c r="C62" s="75" t="n">
        <v>2</v>
      </c>
      <c r="D62" s="75" t="n"/>
      <c r="E62" s="75" t="n">
        <v>2</v>
      </c>
      <c r="F62" s="75" t="n"/>
      <c r="G62" s="75" t="n">
        <v>4</v>
      </c>
      <c r="H62" s="75" t="n"/>
      <c r="I62" s="75" t="n">
        <v>3.5</v>
      </c>
      <c r="J62" s="75" t="n">
        <v>2</v>
      </c>
      <c r="K62" s="75" t="n"/>
      <c r="L62" s="75" t="n"/>
      <c r="M62" s="75" t="n"/>
      <c r="N62" s="75" t="n"/>
      <c r="O62" s="75" t="n">
        <v>3</v>
      </c>
      <c r="P62" s="75" t="n">
        <v>3</v>
      </c>
      <c r="Q62" s="75" t="n"/>
      <c r="R62" s="75" t="n"/>
      <c r="S62" s="75" t="n"/>
      <c r="T62" s="75" t="n">
        <v>2</v>
      </c>
      <c r="U62" s="75" t="n"/>
      <c r="V62" s="75" t="n"/>
      <c r="W62" s="75" t="n"/>
      <c r="X62" s="75" t="n"/>
      <c r="Y62" s="75" t="n"/>
      <c r="Z62" s="75" t="n">
        <v>7</v>
      </c>
      <c r="AA62" s="75" t="n">
        <v>3</v>
      </c>
      <c r="AB62" s="75" t="n">
        <v>4</v>
      </c>
      <c r="AC62" s="75" t="n"/>
      <c r="AD62" s="75" t="n"/>
      <c r="AE62" s="75" t="n"/>
      <c r="AF62" s="75">
        <f>IF(COUNT(C62:U62)=0,"",COUNT(C62:AB62))</f>
        <v/>
      </c>
      <c r="AG62" s="74" t="n"/>
    </row>
    <row r="63">
      <c r="A63" s="75" t="inlineStr">
        <is>
          <t>zakonnica</t>
        </is>
      </c>
      <c r="B63" s="74">
        <f>IFERROR(ROUND(AVERAGE(C63:AB63),2),"")</f>
        <v/>
      </c>
      <c r="C63" s="75" t="n">
        <v>5</v>
      </c>
      <c r="D63" s="75" t="n"/>
      <c r="E63" s="75" t="n">
        <v>9</v>
      </c>
      <c r="F63" s="75" t="n"/>
      <c r="G63" s="75" t="n">
        <v>7.5</v>
      </c>
      <c r="H63" s="75" t="n">
        <v>7</v>
      </c>
      <c r="I63" s="75" t="n">
        <v>8</v>
      </c>
      <c r="J63" s="75" t="n"/>
      <c r="K63" s="75" t="n"/>
      <c r="L63" s="75" t="n"/>
      <c r="M63" s="75" t="n"/>
      <c r="N63" s="75" t="n"/>
      <c r="O63" s="75" t="n">
        <v>8</v>
      </c>
      <c r="P63" s="75" t="n">
        <v>5</v>
      </c>
      <c r="Q63" s="75" t="n"/>
      <c r="R63" s="75" t="n"/>
      <c r="S63" s="75" t="n"/>
      <c r="T63" s="75" t="n">
        <v>7</v>
      </c>
      <c r="U63" s="75" t="n"/>
      <c r="V63" s="75" t="n"/>
      <c r="W63" s="75" t="n"/>
      <c r="X63" s="75" t="n"/>
      <c r="Y63" s="75" t="n"/>
      <c r="Z63" s="75" t="n">
        <v>3.5</v>
      </c>
      <c r="AA63" s="75" t="n">
        <v>5</v>
      </c>
      <c r="AB63" s="75" t="n">
        <v>6</v>
      </c>
      <c r="AC63" s="75" t="n"/>
      <c r="AD63" s="75" t="n"/>
      <c r="AE63" s="75" t="n"/>
      <c r="AF63" s="75">
        <f>IF(COUNT(C63:AB63)=0,"",COUNT(C63:AB63))</f>
        <v/>
      </c>
      <c r="AG63" s="74" t="n"/>
    </row>
    <row r="64">
      <c r="A64" s="75" t="inlineStr">
        <is>
          <t>egzorcyzmy siostry ann</t>
        </is>
      </c>
      <c r="B64" s="74">
        <f>IFERROR(ROUND(AVERAGE(C64:AB64),2),"")</f>
        <v/>
      </c>
      <c r="C64" s="75" t="n">
        <v>6.5</v>
      </c>
      <c r="D64" s="75" t="n"/>
      <c r="E64" s="75" t="n">
        <v>6.5</v>
      </c>
      <c r="F64" s="75" t="n"/>
      <c r="G64" s="75" t="n">
        <v>7.5</v>
      </c>
      <c r="H64" s="75" t="n">
        <v>5</v>
      </c>
      <c r="I64" s="75" t="n">
        <v>6</v>
      </c>
      <c r="J64" s="75" t="n"/>
      <c r="K64" s="75" t="n"/>
      <c r="L64" s="75" t="n"/>
      <c r="M64" s="75" t="n"/>
      <c r="N64" s="75" t="n"/>
      <c r="O64" s="75" t="n"/>
      <c r="P64" s="75" t="n">
        <v>5</v>
      </c>
      <c r="Q64" s="75" t="n"/>
      <c r="R64" s="75" t="n"/>
      <c r="S64" s="75" t="n"/>
      <c r="T64" s="75" t="n">
        <v>6</v>
      </c>
      <c r="U64" s="75" t="n"/>
      <c r="V64" s="75" t="n"/>
      <c r="W64" s="75" t="n"/>
      <c r="X64" s="75" t="n"/>
      <c r="Y64" s="75" t="n"/>
      <c r="Z64" s="75" t="n">
        <v>8</v>
      </c>
      <c r="AA64" s="75" t="n">
        <v>7</v>
      </c>
      <c r="AB64" s="75" t="n"/>
      <c r="AC64" s="75" t="n"/>
      <c r="AD64" s="75" t="n"/>
      <c r="AE64" s="75" t="n"/>
      <c r="AF64" s="75">
        <f>IF(COUNT(C64:AB64)=0,"",COUNT(C64:AB64))</f>
        <v/>
      </c>
      <c r="AG64" s="74" t="n"/>
    </row>
    <row r="65">
      <c r="A65" s="71" t="inlineStr">
        <is>
          <t>Średnia nocy</t>
        </is>
      </c>
      <c r="B65" s="72" t="n"/>
      <c r="C65" s="71" t="n"/>
      <c r="D65" s="71" t="n"/>
      <c r="E65" s="71" t="n"/>
      <c r="F65" s="71" t="n"/>
      <c r="G65" s="71" t="n"/>
      <c r="H65" s="71" t="n"/>
      <c r="I65" s="71" t="n"/>
      <c r="J65" s="71" t="n"/>
      <c r="K65" s="71" t="n"/>
      <c r="L65" s="71" t="n"/>
      <c r="M65" s="71" t="n"/>
      <c r="N65" s="71" t="n"/>
      <c r="O65" s="71" t="n"/>
      <c r="P65" s="71" t="n"/>
      <c r="Q65" s="71" t="n"/>
      <c r="R65" s="71" t="n"/>
      <c r="S65" s="71" t="n"/>
      <c r="T65" s="71" t="n"/>
      <c r="U65" s="71" t="n"/>
      <c r="V65" s="71" t="n"/>
      <c r="W65" s="71" t="n"/>
      <c r="X65" s="71" t="n"/>
      <c r="Y65" s="71" t="n"/>
      <c r="Z65" s="71" t="n"/>
      <c r="AA65" s="71" t="n"/>
      <c r="AB65" s="71" t="n"/>
      <c r="AC65" s="71" t="n"/>
      <c r="AD65" s="71" t="n"/>
      <c r="AE65" s="71" t="n"/>
      <c r="AF65" s="71" t="n"/>
      <c r="AG65" s="72" t="n"/>
    </row>
    <row r="66">
      <c r="A66" s="75" t="inlineStr">
        <is>
          <t>abyzou</t>
        </is>
      </c>
      <c r="B66" s="74">
        <f>IFERROR(ROUND(AVERAGE(C66:AE66),2),"")</f>
        <v/>
      </c>
      <c r="C66" s="75" t="n">
        <v>3</v>
      </c>
      <c r="D66" s="75" t="n">
        <v>3</v>
      </c>
      <c r="E66" s="75" t="n">
        <v>3</v>
      </c>
      <c r="F66" s="75" t="n">
        <v>4</v>
      </c>
      <c r="G66" s="75" t="n">
        <v>4.5</v>
      </c>
      <c r="H66" s="75" t="n">
        <v>3</v>
      </c>
      <c r="I66" s="75" t="n"/>
      <c r="J66" s="75" t="n"/>
      <c r="K66" s="75" t="n"/>
      <c r="L66" s="75" t="n"/>
      <c r="M66" s="75" t="n"/>
      <c r="N66" s="75" t="n"/>
      <c r="O66" s="75" t="n"/>
      <c r="P66" s="75" t="n">
        <v>2</v>
      </c>
      <c r="Q66" s="75" t="n"/>
      <c r="R66" s="75" t="n"/>
      <c r="S66" s="75" t="n"/>
      <c r="T66" s="75" t="n">
        <v>3</v>
      </c>
      <c r="U66" s="75" t="n">
        <v>4</v>
      </c>
      <c r="V66" s="75" t="n"/>
      <c r="W66" s="75" t="n"/>
      <c r="X66" s="75" t="n"/>
      <c r="Y66" s="75" t="n"/>
      <c r="Z66" s="75" t="n">
        <v>6</v>
      </c>
      <c r="AA66" s="75" t="n"/>
      <c r="AB66" s="75" t="n"/>
      <c r="AC66" s="75" t="n"/>
      <c r="AD66" s="75" t="n"/>
      <c r="AE66" s="75" t="n"/>
      <c r="AF66" s="75">
        <f>IF(COUNT(C66:U66)=0,"",COUNT(C66:U66))</f>
        <v/>
      </c>
      <c r="AG66" s="74" t="n"/>
    </row>
    <row r="67">
      <c r="A67" s="75" t="inlineStr">
        <is>
          <t>enys men</t>
        </is>
      </c>
      <c r="B67" s="74">
        <f>IFERROR(ROUND(AVERAGE(C67:AE67),2),"")</f>
        <v/>
      </c>
      <c r="C67" s="75" t="n">
        <v>2.5</v>
      </c>
      <c r="D67" s="75" t="n">
        <v>1</v>
      </c>
      <c r="E67" s="75" t="n">
        <v>1</v>
      </c>
      <c r="F67" s="75" t="n">
        <v>2</v>
      </c>
      <c r="G67" s="75" t="n">
        <v>2.5</v>
      </c>
      <c r="H67" s="75" t="n">
        <v>1</v>
      </c>
      <c r="I67" s="75" t="n"/>
      <c r="J67" s="75" t="n"/>
      <c r="K67" s="75" t="n"/>
      <c r="L67" s="75" t="n"/>
      <c r="M67" s="75" t="n"/>
      <c r="N67" s="75" t="n"/>
      <c r="O67" s="75" t="n"/>
      <c r="P67" s="75" t="n">
        <v>4</v>
      </c>
      <c r="Q67" s="75" t="n"/>
      <c r="R67" s="75" t="n"/>
      <c r="S67" s="75" t="n"/>
      <c r="T67" s="75" t="n">
        <v>2</v>
      </c>
      <c r="U67" s="75" t="n">
        <v>2</v>
      </c>
      <c r="V67" s="75" t="n"/>
      <c r="W67" s="75" t="n"/>
      <c r="X67" s="75" t="n"/>
      <c r="Y67" s="75" t="n"/>
      <c r="Z67" s="75" t="n">
        <v>2</v>
      </c>
      <c r="AA67" s="75" t="n"/>
      <c r="AB67" s="75" t="n"/>
      <c r="AC67" s="75" t="n"/>
      <c r="AD67" s="75" t="n"/>
      <c r="AE67" s="75" t="n"/>
      <c r="AF67" s="75">
        <f>IF(COUNT(C67:U67)=0,"",COUNT(C67:U67))</f>
        <v/>
      </c>
      <c r="AG67" s="74" t="n"/>
    </row>
    <row r="68">
      <c r="A68" s="75" t="inlineStr">
        <is>
          <t>najsamotniejszy chłopak na swiecie</t>
        </is>
      </c>
      <c r="B68" s="74">
        <f>IFERROR(ROUND(AVERAGE(C68:AE68),2),"")</f>
        <v/>
      </c>
      <c r="C68" s="75" t="n">
        <v>7.5</v>
      </c>
      <c r="D68" s="75" t="n">
        <v>9</v>
      </c>
      <c r="E68" s="75" t="n">
        <v>6.5</v>
      </c>
      <c r="F68" s="75" t="n">
        <v>7</v>
      </c>
      <c r="G68" s="75" t="n">
        <v>8</v>
      </c>
      <c r="H68" s="75" t="n">
        <v>5</v>
      </c>
      <c r="I68" s="75" t="n">
        <v>1.5</v>
      </c>
      <c r="J68" s="75" t="n"/>
      <c r="K68" s="75" t="n"/>
      <c r="L68" s="75" t="n"/>
      <c r="M68" s="75" t="n"/>
      <c r="N68" s="75" t="n"/>
      <c r="O68" s="75" t="n"/>
      <c r="P68" s="75" t="n">
        <v>5</v>
      </c>
      <c r="Q68" s="75" t="n"/>
      <c r="R68" s="75" t="n"/>
      <c r="S68" s="75" t="n"/>
      <c r="T68" s="75" t="n">
        <v>6.5</v>
      </c>
      <c r="U68" s="75" t="n">
        <v>7</v>
      </c>
      <c r="V68" s="75" t="n"/>
      <c r="W68" s="75" t="n"/>
      <c r="X68" s="75" t="n"/>
      <c r="Y68" s="75" t="n"/>
      <c r="Z68" s="75" t="n">
        <v>7.5</v>
      </c>
      <c r="AA68" s="75" t="n"/>
      <c r="AB68" s="75" t="n"/>
      <c r="AC68" s="75" t="n"/>
      <c r="AD68" s="75" t="n"/>
      <c r="AE68" s="75" t="n"/>
      <c r="AF68" s="75">
        <f>IF(COUNT(C68:U68)=0,"",COUNT(C68:U68))</f>
        <v/>
      </c>
      <c r="AG68" s="74" t="n"/>
    </row>
    <row r="69">
      <c r="A69" s="75" t="inlineStr">
        <is>
          <t>skinamarink</t>
        </is>
      </c>
      <c r="B69" s="74">
        <f>IFERROR(ROUND(AVERAGE(C69:AE69),2),"")</f>
        <v/>
      </c>
      <c r="C69" s="75" t="n">
        <v>4</v>
      </c>
      <c r="D69" s="75" t="n">
        <v>1</v>
      </c>
      <c r="E69" s="75" t="n">
        <v>7.5</v>
      </c>
      <c r="F69" s="75" t="n">
        <v>3</v>
      </c>
      <c r="G69" s="75" t="n">
        <v>1.5</v>
      </c>
      <c r="H69" s="75" t="n">
        <v>6</v>
      </c>
      <c r="I69" s="75" t="n">
        <v>1</v>
      </c>
      <c r="J69" s="75" t="n"/>
      <c r="K69" s="75" t="n"/>
      <c r="L69" s="75" t="n"/>
      <c r="M69" s="75" t="n"/>
      <c r="N69" s="75" t="n"/>
      <c r="O69" s="75" t="n"/>
      <c r="P69" s="75" t="n">
        <v>4</v>
      </c>
      <c r="Q69" s="75" t="n"/>
      <c r="R69" s="75" t="n"/>
      <c r="S69" s="75" t="n"/>
      <c r="T69" s="75" t="n">
        <v>8.5</v>
      </c>
      <c r="U69" s="75" t="n"/>
      <c r="V69" s="75" t="n"/>
      <c r="W69" s="75" t="n"/>
      <c r="X69" s="75" t="n"/>
      <c r="Y69" s="75" t="n"/>
      <c r="Z69" s="75" t="n">
        <v>6</v>
      </c>
      <c r="AA69" s="75" t="n"/>
      <c r="AB69" s="75" t="n"/>
      <c r="AC69" s="75" t="n"/>
      <c r="AD69" s="75" t="n"/>
      <c r="AE69" s="75" t="n"/>
      <c r="AF69" s="75" t="n"/>
      <c r="AG69" s="74" t="n"/>
    </row>
    <row r="70">
      <c r="A70" s="71" t="inlineStr">
        <is>
          <t>Średnia nocy</t>
        </is>
      </c>
      <c r="B70" s="72" t="n"/>
      <c r="C70" s="71" t="n"/>
      <c r="D70" s="71" t="n"/>
      <c r="E70" s="71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  <c r="T70" s="71" t="n"/>
      <c r="U70" s="71" t="n"/>
      <c r="V70" s="71" t="n"/>
      <c r="W70" s="71" t="n"/>
      <c r="X70" s="71" t="n"/>
      <c r="Y70" s="71" t="n"/>
      <c r="Z70" s="71" t="n"/>
      <c r="AA70" s="71" t="n"/>
      <c r="AB70" s="71" t="n"/>
      <c r="AC70" s="71" t="n"/>
      <c r="AD70" s="71" t="n"/>
      <c r="AE70" s="71" t="n"/>
      <c r="AF70" s="71" t="n"/>
      <c r="AG70" s="72" t="n"/>
    </row>
    <row r="71">
      <c r="A71" s="75" t="inlineStr">
        <is>
          <t>bones and all</t>
        </is>
      </c>
      <c r="B71" s="74">
        <f>IFERROR(ROUND(AVERAGE(C71:AE71),2),"")</f>
        <v/>
      </c>
      <c r="C71" s="75" t="n">
        <v>8</v>
      </c>
      <c r="D71" s="75" t="n">
        <v>4</v>
      </c>
      <c r="E71" s="75" t="n"/>
      <c r="F71" s="75" t="n"/>
      <c r="G71" s="75" t="n">
        <v>6</v>
      </c>
      <c r="H71" s="75" t="n"/>
      <c r="I71" s="75" t="n"/>
      <c r="J71" s="75" t="n"/>
      <c r="K71" s="75" t="n"/>
      <c r="L71" s="75" t="n"/>
      <c r="M71" s="75" t="n"/>
      <c r="N71" s="75" t="n"/>
      <c r="O71" s="75" t="n"/>
      <c r="P71" s="75" t="n">
        <v>7</v>
      </c>
      <c r="Q71" s="75" t="n"/>
      <c r="R71" s="75" t="n"/>
      <c r="S71" s="75" t="n"/>
      <c r="T71" s="75" t="n"/>
      <c r="U71" s="75" t="n"/>
      <c r="V71" s="75" t="n"/>
      <c r="W71" s="75" t="n"/>
      <c r="X71" s="75" t="n"/>
      <c r="Y71" s="75" t="n"/>
      <c r="Z71" s="75" t="n">
        <v>7</v>
      </c>
      <c r="AA71" s="75" t="n"/>
      <c r="AB71" s="75" t="n"/>
      <c r="AC71" s="75" t="n"/>
      <c r="AD71" s="75" t="n"/>
      <c r="AE71" s="75" t="n"/>
      <c r="AF71" s="75">
        <f>IF(COUNT(C71:U71)=0,"",COUNT(C71:U71))</f>
        <v/>
      </c>
      <c r="AG71" s="74" t="n"/>
    </row>
    <row r="72">
      <c r="A72" s="75" t="inlineStr">
        <is>
          <t>pride and producies and zombies</t>
        </is>
      </c>
      <c r="B72" s="74">
        <f>IFERROR(ROUND(AVERAGE(C72:AE72),2),"")</f>
        <v/>
      </c>
      <c r="C72" s="75" t="n">
        <v>9</v>
      </c>
      <c r="D72" s="75" t="n">
        <v>8</v>
      </c>
      <c r="E72" s="75" t="n"/>
      <c r="F72" s="75" t="n"/>
      <c r="G72" s="75" t="n">
        <v>7</v>
      </c>
      <c r="H72" s="75" t="n">
        <v>6</v>
      </c>
      <c r="I72" s="75" t="n"/>
      <c r="J72" s="75" t="n"/>
      <c r="K72" s="75" t="n"/>
      <c r="L72" s="75" t="n"/>
      <c r="M72" s="75" t="n"/>
      <c r="N72" s="75" t="n"/>
      <c r="O72" s="75" t="n"/>
      <c r="P72" s="75" t="n">
        <v>6</v>
      </c>
      <c r="Q72" s="75" t="n"/>
      <c r="R72" s="75" t="n"/>
      <c r="S72" s="75" t="n"/>
      <c r="T72" s="75" t="n">
        <v>6.5</v>
      </c>
      <c r="U72" s="75" t="n"/>
      <c r="V72" s="75" t="n"/>
      <c r="W72" s="75" t="n"/>
      <c r="X72" s="75" t="n"/>
      <c r="Y72" s="75" t="n"/>
      <c r="Z72" s="75" t="n">
        <v>6</v>
      </c>
      <c r="AA72" s="75" t="n"/>
      <c r="AB72" s="75" t="n"/>
      <c r="AC72" s="75" t="n">
        <v>8</v>
      </c>
      <c r="AD72" s="75" t="n"/>
      <c r="AE72" s="75" t="n"/>
      <c r="AF72" s="75">
        <f>IF(COUNT(C72:U72)=0,"",COUNT(C72:U72))</f>
        <v/>
      </c>
      <c r="AG72" s="74" t="n"/>
    </row>
    <row r="73">
      <c r="A73" s="75" t="inlineStr">
        <is>
          <t>krasue unhuman kiss</t>
        </is>
      </c>
      <c r="B73" s="74">
        <f>IFERROR(ROUND(AVERAGE(C73:AE73),2),"")</f>
        <v/>
      </c>
      <c r="C73" s="75" t="n">
        <v>6</v>
      </c>
      <c r="D73" s="75" t="n">
        <v>6</v>
      </c>
      <c r="E73" s="75" t="n"/>
      <c r="F73" s="75" t="n"/>
      <c r="G73" s="75" t="n">
        <v>7</v>
      </c>
      <c r="H73" s="75" t="n">
        <v>7.5</v>
      </c>
      <c r="I73" s="75" t="n"/>
      <c r="J73" s="75" t="n"/>
      <c r="K73" s="75" t="n"/>
      <c r="L73" s="75" t="n"/>
      <c r="M73" s="75" t="n"/>
      <c r="N73" s="75" t="n"/>
      <c r="O73" s="75" t="n"/>
      <c r="P73" s="75" t="n">
        <v>7</v>
      </c>
      <c r="Q73" s="75" t="n"/>
      <c r="R73" s="75" t="n"/>
      <c r="S73" s="75" t="n"/>
      <c r="T73" s="75" t="n">
        <v>7.5</v>
      </c>
      <c r="U73" s="75" t="n"/>
      <c r="V73" s="75" t="n"/>
      <c r="W73" s="75" t="n"/>
      <c r="X73" s="75" t="n"/>
      <c r="Y73" s="75" t="n"/>
      <c r="Z73" s="75" t="n">
        <v>6.5</v>
      </c>
      <c r="AA73" s="75" t="n"/>
      <c r="AB73" s="75" t="n"/>
      <c r="AC73" s="75" t="n"/>
      <c r="AD73" s="75" t="n"/>
      <c r="AE73" s="75" t="n"/>
      <c r="AF73" s="75">
        <f>IF(COUNT(C73:U73)=0,"",COUNT(C73:U73))</f>
        <v/>
      </c>
      <c r="AG73" s="74" t="n"/>
    </row>
    <row r="74">
      <c r="A74" s="71" t="inlineStr">
        <is>
          <t>Średnia nocy</t>
        </is>
      </c>
      <c r="B74" s="72" t="n"/>
      <c r="C74" s="71" t="n"/>
      <c r="D74" s="71" t="n"/>
      <c r="E74" s="71" t="n"/>
      <c r="F74" s="71" t="n"/>
      <c r="G74" s="71" t="n"/>
      <c r="H74" s="71" t="n"/>
      <c r="I74" s="71" t="n"/>
      <c r="J74" s="71" t="n"/>
      <c r="K74" s="71" t="n"/>
      <c r="L74" s="71" t="n"/>
      <c r="M74" s="71" t="n"/>
      <c r="N74" s="71" t="n"/>
      <c r="O74" s="71" t="n"/>
      <c r="P74" s="71" t="n"/>
      <c r="Q74" s="71" t="n"/>
      <c r="R74" s="71" t="n"/>
      <c r="S74" s="71" t="n"/>
      <c r="T74" s="71" t="n"/>
      <c r="U74" s="71" t="n"/>
      <c r="V74" s="71" t="n"/>
      <c r="W74" s="71" t="n"/>
      <c r="X74" s="71" t="n"/>
      <c r="Y74" s="71" t="n"/>
      <c r="Z74" s="71" t="n"/>
      <c r="AA74" s="71" t="n"/>
      <c r="AB74" s="71" t="n"/>
      <c r="AC74" s="71" t="n"/>
      <c r="AD74" s="71" t="n"/>
      <c r="AE74" s="71" t="n"/>
      <c r="AF74" s="71" t="n"/>
      <c r="AG74" s="72" t="n"/>
    </row>
    <row r="75">
      <c r="A75" s="75" t="inlineStr">
        <is>
          <t>octogames</t>
        </is>
      </c>
      <c r="B75" s="74">
        <f>IFERROR(ROUND(AVERAGE(C75:AE75),2),"")</f>
        <v/>
      </c>
      <c r="C75" s="75" t="n">
        <v>6</v>
      </c>
      <c r="D75" s="75" t="n">
        <v>5</v>
      </c>
      <c r="E75" s="75" t="n">
        <v>5</v>
      </c>
      <c r="F75" s="75" t="n">
        <v>4</v>
      </c>
      <c r="G75" s="75" t="n">
        <v>5</v>
      </c>
      <c r="H75" s="75" t="n"/>
      <c r="I75" s="75" t="n"/>
      <c r="J75" s="75" t="n"/>
      <c r="K75" s="75" t="n"/>
      <c r="L75" s="75" t="n"/>
      <c r="M75" s="75" t="n"/>
      <c r="N75" s="75" t="n"/>
      <c r="O75" s="75" t="n">
        <v>4</v>
      </c>
      <c r="P75" s="75" t="n">
        <v>1</v>
      </c>
      <c r="Q75" s="75" t="n"/>
      <c r="R75" s="75" t="n"/>
      <c r="S75" s="75" t="n"/>
      <c r="T75" s="75" t="n"/>
      <c r="U75" s="75" t="n">
        <v>5.5</v>
      </c>
      <c r="V75" s="75" t="n"/>
      <c r="W75" s="75" t="n"/>
      <c r="X75" s="75" t="n"/>
      <c r="Y75" s="75" t="n"/>
      <c r="Z75" s="75" t="n"/>
      <c r="AA75" s="75" t="n">
        <v>5</v>
      </c>
      <c r="AB75" s="75" t="n"/>
      <c r="AC75" s="75" t="n"/>
      <c r="AD75" s="75" t="n"/>
      <c r="AE75" s="75" t="n"/>
      <c r="AF75" s="75">
        <f>IF(COUNT(C75:U75)=0,"",COUNT(C75:U75))</f>
        <v/>
      </c>
      <c r="AG75" s="74" t="n"/>
    </row>
    <row r="76">
      <c r="A76" s="75" t="inlineStr">
        <is>
          <t>funhouse</t>
        </is>
      </c>
      <c r="B76" s="74">
        <f>IFERROR(ROUND(AVERAGE(C76:AE76),2),"")</f>
        <v/>
      </c>
      <c r="C76" s="75" t="n">
        <v>8</v>
      </c>
      <c r="D76" s="75" t="n">
        <v>5</v>
      </c>
      <c r="E76" s="75" t="n">
        <v>6</v>
      </c>
      <c r="F76" s="75" t="n">
        <v>6</v>
      </c>
      <c r="G76" s="75" t="n">
        <v>6.5</v>
      </c>
      <c r="H76" s="75" t="n">
        <v>7</v>
      </c>
      <c r="I76" s="75" t="n"/>
      <c r="J76" s="75" t="n"/>
      <c r="K76" s="75" t="n"/>
      <c r="L76" s="75" t="n"/>
      <c r="M76" s="75" t="n"/>
      <c r="N76" s="75" t="n"/>
      <c r="O76" s="75" t="n">
        <v>5.5</v>
      </c>
      <c r="P76" s="75" t="n"/>
      <c r="Q76" s="75" t="n"/>
      <c r="R76" s="75" t="n"/>
      <c r="S76" s="75" t="n"/>
      <c r="T76" s="75" t="n"/>
      <c r="U76" s="75" t="n">
        <v>5.5</v>
      </c>
      <c r="V76" s="75" t="n"/>
      <c r="W76" s="75" t="n"/>
      <c r="X76" s="75" t="n"/>
      <c r="Y76" s="75" t="n"/>
      <c r="Z76" s="75" t="n"/>
      <c r="AA76" s="75" t="n">
        <v>7.5</v>
      </c>
      <c r="AB76" s="75" t="n"/>
      <c r="AC76" s="75" t="n"/>
      <c r="AD76" s="75" t="n"/>
      <c r="AE76" s="75" t="n"/>
      <c r="AF76" s="75">
        <f>IF(COUNT(C76:U76)=0,"",COUNT(C76:U76))</f>
        <v/>
      </c>
      <c r="AG76" s="74" t="n"/>
    </row>
    <row r="77">
      <c r="A77" s="75" t="inlineStr">
        <is>
          <t>deep house</t>
        </is>
      </c>
      <c r="B77" s="74">
        <f>IFERROR(ROUND(AVERAGE(C77:AE77),2),"")</f>
        <v/>
      </c>
      <c r="C77" s="75" t="n">
        <v>2</v>
      </c>
      <c r="D77" s="75" t="n">
        <v>7.5</v>
      </c>
      <c r="E77" s="75" t="n"/>
      <c r="F77" s="75" t="n">
        <v>6.5</v>
      </c>
      <c r="G77" s="75" t="n">
        <v>6</v>
      </c>
      <c r="H77" s="75" t="n">
        <v>6</v>
      </c>
      <c r="I77" s="75" t="n"/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75" t="n"/>
      <c r="T77" s="75" t="n"/>
      <c r="U77" s="75" t="n"/>
      <c r="V77" s="75" t="n"/>
      <c r="W77" s="75" t="n"/>
      <c r="X77" s="75" t="n"/>
      <c r="Y77" s="75" t="n"/>
      <c r="Z77" s="75" t="n"/>
      <c r="AA77" s="75" t="n"/>
      <c r="AB77" s="75" t="n"/>
      <c r="AC77" s="75" t="n"/>
      <c r="AD77" s="75" t="n"/>
      <c r="AE77" s="75" t="n"/>
      <c r="AF77" s="75">
        <f>IF(COUNT(C77:U77)=0,"",COUNT(C77:U77))</f>
        <v/>
      </c>
      <c r="AG77" s="74" t="n"/>
    </row>
    <row r="78">
      <c r="A78" s="71" t="inlineStr">
        <is>
          <t>Średnia nocy</t>
        </is>
      </c>
      <c r="B78" s="72" t="n"/>
      <c r="C78" s="71" t="n"/>
      <c r="D78" s="71" t="n"/>
      <c r="E78" s="71" t="n"/>
      <c r="F78" s="71" t="n"/>
      <c r="G78" s="71" t="n"/>
      <c r="H78" s="71" t="n"/>
      <c r="I78" s="71" t="n"/>
      <c r="J78" s="71" t="n"/>
      <c r="K78" s="71" t="n"/>
      <c r="L78" s="71" t="n"/>
      <c r="M78" s="71" t="n"/>
      <c r="N78" s="71" t="n"/>
      <c r="O78" s="71" t="n"/>
      <c r="P78" s="71" t="n"/>
      <c r="Q78" s="71" t="n"/>
      <c r="R78" s="71" t="n"/>
      <c r="S78" s="71" t="n"/>
      <c r="T78" s="71" t="n"/>
      <c r="U78" s="71" t="n"/>
      <c r="V78" s="71" t="n"/>
      <c r="W78" s="71" t="n"/>
      <c r="X78" s="71" t="n"/>
      <c r="Y78" s="71" t="n"/>
      <c r="Z78" s="71" t="n"/>
      <c r="AA78" s="71" t="n"/>
      <c r="AB78" s="71" t="n"/>
      <c r="AC78" s="71" t="n"/>
      <c r="AD78" s="71" t="n"/>
      <c r="AE78" s="71" t="n"/>
      <c r="AF78" s="71" t="n"/>
      <c r="AG78" s="72">
        <f>IF(AND(COUNT(C78:Q78) &lt;4,COUNT(C78:Q78) &lt;&gt; 0),"za mało danych",IFERROR(ROUND(AVERAGE(C78:Q78),2),""))</f>
        <v/>
      </c>
    </row>
    <row r="79">
      <c r="A79" s="75" t="inlineStr">
        <is>
          <t>knock at cabin</t>
        </is>
      </c>
      <c r="B79" s="74">
        <f>IFERROR(ROUND(AVERAGE(C79:AE79),2),"")</f>
        <v/>
      </c>
      <c r="C79" s="75" t="n">
        <v>8</v>
      </c>
      <c r="D79" s="75" t="n">
        <v>6</v>
      </c>
      <c r="E79" s="75" t="n">
        <v>7</v>
      </c>
      <c r="F79" s="75" t="n">
        <v>7.5</v>
      </c>
      <c r="G79" s="75" t="n">
        <v>7</v>
      </c>
      <c r="H79" s="75" t="n"/>
      <c r="I79" s="75" t="n"/>
      <c r="J79" s="75" t="n"/>
      <c r="K79" s="75" t="n"/>
      <c r="L79" s="75" t="n"/>
      <c r="M79" s="75" t="n"/>
      <c r="N79" s="75" t="n"/>
      <c r="O79" s="75" t="n"/>
      <c r="P79" s="75" t="n">
        <v>7</v>
      </c>
      <c r="Q79" s="75" t="n"/>
      <c r="R79" s="75" t="n">
        <v>4</v>
      </c>
      <c r="S79" s="75" t="n">
        <v>8</v>
      </c>
      <c r="T79" s="75" t="n"/>
      <c r="U79" s="75" t="n">
        <v>10</v>
      </c>
      <c r="V79" s="75" t="n"/>
      <c r="W79" s="75" t="inlineStr">
        <is>
          <t xml:space="preserve"> </t>
        </is>
      </c>
      <c r="X79" s="75" t="n"/>
      <c r="Y79" s="75" t="n"/>
      <c r="Z79" s="75" t="n">
        <v>7</v>
      </c>
      <c r="AA79" s="75" t="n"/>
      <c r="AB79" s="75" t="n"/>
      <c r="AC79" s="75" t="n">
        <v>6</v>
      </c>
      <c r="AD79" s="75" t="n"/>
      <c r="AE79" s="75" t="n"/>
      <c r="AF79" s="75">
        <f>IF(COUNT(C79:U79)=0,"",COUNT(C79:U79))</f>
        <v/>
      </c>
      <c r="AG79" s="74" t="n"/>
    </row>
    <row r="80">
      <c r="A80" s="75" t="inlineStr">
        <is>
          <t>m3gan</t>
        </is>
      </c>
      <c r="B80" s="74">
        <f>IFERROR(ROUND(AVERAGE(C80:AE80),2),"")</f>
        <v/>
      </c>
      <c r="C80" s="75" t="n">
        <v>2</v>
      </c>
      <c r="D80" s="75" t="n">
        <v>6.5</v>
      </c>
      <c r="E80" s="75" t="n">
        <v>9</v>
      </c>
      <c r="F80" s="75" t="n">
        <v>4</v>
      </c>
      <c r="G80" s="75" t="n">
        <v>8</v>
      </c>
      <c r="H80" s="75" t="n"/>
      <c r="I80" s="75" t="n"/>
      <c r="J80" s="75" t="n"/>
      <c r="K80" s="75" t="n"/>
      <c r="L80" s="75" t="n"/>
      <c r="M80" s="75" t="n"/>
      <c r="N80" s="75" t="n">
        <v>7.5</v>
      </c>
      <c r="O80" s="75" t="n"/>
      <c r="P80" s="75" t="n">
        <v>4</v>
      </c>
      <c r="Q80" s="75" t="n"/>
      <c r="R80" s="75" t="n">
        <v>7</v>
      </c>
      <c r="S80" s="75" t="n">
        <v>7</v>
      </c>
      <c r="T80" s="75" t="n">
        <v>8</v>
      </c>
      <c r="U80" s="75" t="n">
        <v>10</v>
      </c>
      <c r="V80" s="75" t="n"/>
      <c r="W80" s="75" t="n"/>
      <c r="X80" s="75" t="n">
        <v>9</v>
      </c>
      <c r="Y80" s="75" t="n"/>
      <c r="Z80" s="75" t="n"/>
      <c r="AA80" s="75" t="n"/>
      <c r="AB80" s="75" t="n"/>
      <c r="AC80" s="75" t="n">
        <v>7</v>
      </c>
      <c r="AD80" s="75" t="n"/>
      <c r="AE80" s="75" t="n"/>
      <c r="AF80" s="75">
        <f>IF(COUNT(C80:U80)=0,"",COUNT(C80:U80))</f>
        <v/>
      </c>
      <c r="AG80" s="74" t="n"/>
    </row>
    <row r="81">
      <c r="A81" s="75" t="inlineStr">
        <is>
          <t>8 pool</t>
        </is>
      </c>
      <c r="B81" s="74">
        <f>IFERROR(ROUND(AVERAGE(C81:AE81),2),"")</f>
        <v/>
      </c>
      <c r="C81" s="75" t="n">
        <v>8</v>
      </c>
      <c r="D81" s="75" t="n">
        <v>6</v>
      </c>
      <c r="E81" s="75" t="n">
        <v>5.5</v>
      </c>
      <c r="F81" s="75" t="n"/>
      <c r="G81" s="75" t="n">
        <v>10</v>
      </c>
      <c r="H81" s="75" t="n"/>
      <c r="I81" s="75" t="n"/>
      <c r="J81" s="75" t="n"/>
      <c r="K81" s="75" t="n"/>
      <c r="L81" s="75" t="n"/>
      <c r="M81" s="75" t="n"/>
      <c r="N81" s="75" t="n"/>
      <c r="O81" s="75" t="n"/>
      <c r="P81" s="75" t="n">
        <v>7.5</v>
      </c>
      <c r="Q81" s="75" t="n"/>
      <c r="R81" s="75" t="n"/>
      <c r="S81" s="75" t="n"/>
      <c r="T81" s="75" t="n">
        <v>5</v>
      </c>
      <c r="U81" s="75" t="n"/>
      <c r="V81" s="75" t="n"/>
      <c r="W81" s="75" t="n"/>
      <c r="X81" s="75" t="n"/>
      <c r="Y81" s="75" t="n"/>
      <c r="Z81" s="75" t="n"/>
      <c r="AA81" s="75" t="n"/>
      <c r="AB81" s="75" t="n"/>
      <c r="AC81" s="75" t="n"/>
      <c r="AD81" s="75" t="n"/>
      <c r="AE81" s="75" t="n"/>
      <c r="AF81" s="75">
        <f>IF(COUNT(C81:U81)=0,"",COUNT(C81:U81))</f>
        <v/>
      </c>
      <c r="AG81" s="74" t="n"/>
    </row>
    <row r="82">
      <c r="A82" s="71" t="inlineStr">
        <is>
          <t>Średnia nocy</t>
        </is>
      </c>
      <c r="B82" s="72" t="n"/>
      <c r="C82" s="71" t="n"/>
      <c r="D82" s="71" t="n"/>
      <c r="E82" s="71" t="n"/>
      <c r="F82" s="71" t="n"/>
      <c r="G82" s="71" t="n"/>
      <c r="H82" s="71" t="n"/>
      <c r="I82" s="71" t="n"/>
      <c r="J82" s="71" t="n"/>
      <c r="K82" s="71" t="n"/>
      <c r="L82" s="71" t="n"/>
      <c r="M82" s="71" t="n"/>
      <c r="N82" s="71" t="n"/>
      <c r="O82" s="71" t="n"/>
      <c r="P82" s="71" t="n"/>
      <c r="Q82" s="71" t="n"/>
      <c r="R82" s="71" t="n"/>
      <c r="S82" s="71" t="n"/>
      <c r="T82" s="71" t="n"/>
      <c r="U82" s="71" t="n"/>
      <c r="V82" s="71" t="n"/>
      <c r="W82" s="71" t="n"/>
      <c r="X82" s="71" t="n"/>
      <c r="Y82" s="71" t="n"/>
      <c r="Z82" s="71" t="n"/>
      <c r="AA82" s="71" t="n"/>
      <c r="AB82" s="71" t="n"/>
      <c r="AC82" s="71" t="n"/>
      <c r="AD82" s="71" t="n"/>
      <c r="AE82" s="71" t="n"/>
      <c r="AF82" s="71" t="n"/>
      <c r="AG82" s="72" t="n"/>
    </row>
    <row r="83">
      <c r="A83" s="75" t="inlineStr">
        <is>
          <t>Sick</t>
        </is>
      </c>
      <c r="B83" s="74">
        <f>IFERROR(ROUND(AVERAGE(C83:AE83),2),"")</f>
        <v/>
      </c>
      <c r="C83" s="75" t="n">
        <v>2</v>
      </c>
      <c r="D83" s="75" t="n">
        <v>3</v>
      </c>
      <c r="E83" s="75" t="n">
        <v>6.5</v>
      </c>
      <c r="F83" s="75" t="n"/>
      <c r="G83" s="75" t="n">
        <v>4</v>
      </c>
      <c r="H83" s="75" t="n"/>
      <c r="I83" s="75" t="n"/>
      <c r="J83" s="75" t="n"/>
      <c r="K83" s="75" t="n"/>
      <c r="L83" s="75" t="n"/>
      <c r="M83" s="75" t="n"/>
      <c r="N83" s="75" t="n"/>
      <c r="O83" s="75" t="n"/>
      <c r="P83" s="75" t="n">
        <v>3</v>
      </c>
      <c r="Q83" s="75" t="n"/>
      <c r="R83" s="75" t="n"/>
      <c r="S83" s="75" t="n">
        <v>7</v>
      </c>
      <c r="T83" s="75" t="n"/>
      <c r="U83" s="75" t="n"/>
      <c r="V83" s="75" t="n"/>
      <c r="W83" s="75" t="n"/>
      <c r="X83" s="75" t="n"/>
      <c r="Y83" s="75" t="n"/>
      <c r="Z83" s="75" t="n"/>
      <c r="AA83" s="75" t="n"/>
      <c r="AB83" s="75" t="n"/>
      <c r="AC83" s="75" t="n">
        <v>2</v>
      </c>
      <c r="AD83" s="75" t="n"/>
      <c r="AE83" s="75" t="n"/>
      <c r="AF83" s="75">
        <f>IF(COUNT(C83:U83)=0,"",COUNT(C83:U83))</f>
        <v/>
      </c>
      <c r="AG83" s="74" t="n"/>
    </row>
    <row r="84">
      <c r="A84" s="75" t="inlineStr">
        <is>
          <t>Zombieland2</t>
        </is>
      </c>
      <c r="B84" s="74">
        <f>IFERROR(ROUND(AVERAGE(C84:AE84),2),"")</f>
        <v/>
      </c>
      <c r="C84" s="75" t="n">
        <v>8</v>
      </c>
      <c r="D84" s="75" t="n">
        <v>9</v>
      </c>
      <c r="E84" s="75" t="n"/>
      <c r="F84" s="75" t="n"/>
      <c r="G84" s="75" t="n">
        <v>8</v>
      </c>
      <c r="H84" s="75" t="n">
        <v>7</v>
      </c>
      <c r="I84" s="75" t="n"/>
      <c r="J84" s="75" t="n"/>
      <c r="K84" s="75" t="n"/>
      <c r="L84" s="75" t="n"/>
      <c r="M84" s="75" t="n"/>
      <c r="N84" s="75" t="n"/>
      <c r="O84" s="75" t="n"/>
      <c r="P84" s="75" t="n">
        <v>6</v>
      </c>
      <c r="Q84" s="75" t="n"/>
      <c r="R84" s="75" t="n"/>
      <c r="S84" s="75" t="n">
        <v>8</v>
      </c>
      <c r="T84" s="75" t="n">
        <v>9</v>
      </c>
      <c r="U84" s="75" t="n"/>
      <c r="V84" s="75" t="n"/>
      <c r="W84" s="75" t="n"/>
      <c r="X84" s="75" t="n">
        <v>10</v>
      </c>
      <c r="Y84" s="75" t="n"/>
      <c r="Z84" s="75" t="n">
        <v>7</v>
      </c>
      <c r="AA84" s="75" t="n"/>
      <c r="AB84" s="75" t="n"/>
      <c r="AC84" s="75" t="n">
        <v>8.5</v>
      </c>
      <c r="AD84" s="75" t="n"/>
      <c r="AE84" s="75" t="n"/>
      <c r="AF84" s="75">
        <f>IF(COUNT(C84:U84)=0,"",COUNT(C84:U84))</f>
        <v/>
      </c>
      <c r="AG84" s="74" t="n"/>
    </row>
    <row r="85">
      <c r="A85" s="75" t="inlineStr">
        <is>
          <t>Afflicted</t>
        </is>
      </c>
      <c r="B85" s="74">
        <f>IFERROR(ROUND(AVERAGE(C85:AE85),2),"")</f>
        <v/>
      </c>
      <c r="C85" s="75" t="n">
        <v>9</v>
      </c>
      <c r="D85" s="75" t="n">
        <v>5</v>
      </c>
      <c r="E85" s="75" t="n"/>
      <c r="F85" s="75" t="n"/>
      <c r="G85" s="75" t="n">
        <v>7</v>
      </c>
      <c r="H85" s="75" t="n">
        <v>8.5</v>
      </c>
      <c r="I85" s="75" t="n"/>
      <c r="J85" s="75" t="n"/>
      <c r="K85" s="75" t="n"/>
      <c r="L85" s="75" t="n"/>
      <c r="M85" s="75" t="n"/>
      <c r="N85" s="75" t="n"/>
      <c r="O85" s="75" t="n"/>
      <c r="P85" s="75" t="n">
        <v>8</v>
      </c>
      <c r="Q85" s="75" t="n"/>
      <c r="R85" s="75" t="n"/>
      <c r="S85" s="75" t="n"/>
      <c r="T85" s="75" t="n">
        <v>6</v>
      </c>
      <c r="U85" s="75" t="n"/>
      <c r="V85" s="75" t="n"/>
      <c r="W85" s="75" t="n"/>
      <c r="X85" s="75" t="n"/>
      <c r="Y85" s="75" t="n"/>
      <c r="Z85" s="75" t="n"/>
      <c r="AA85" s="75" t="n"/>
      <c r="AB85" s="75" t="n"/>
      <c r="AC85" s="75" t="n"/>
      <c r="AD85" s="75" t="n"/>
      <c r="AE85" s="75" t="n"/>
      <c r="AF85" s="75">
        <f>IF(COUNT(C85:U85)=0,"",COUNT(C85:U85))</f>
        <v/>
      </c>
      <c r="AG85" s="74" t="n"/>
    </row>
    <row r="86">
      <c r="A86" s="71" t="inlineStr">
        <is>
          <t>Średnia nocy</t>
        </is>
      </c>
      <c r="B86" s="72" t="n"/>
      <c r="C86" s="71" t="n"/>
      <c r="D86" s="71" t="n"/>
      <c r="E86" s="71" t="n"/>
      <c r="F86" s="71" t="n"/>
      <c r="G86" s="71" t="n"/>
      <c r="H86" s="71" t="n"/>
      <c r="I86" s="71" t="n"/>
      <c r="J86" s="71" t="n"/>
      <c r="K86" s="71" t="n"/>
      <c r="L86" s="71" t="n"/>
      <c r="M86" s="71" t="n"/>
      <c r="N86" s="71" t="n"/>
      <c r="O86" s="71" t="n"/>
      <c r="P86" s="71" t="n"/>
      <c r="Q86" s="71" t="n"/>
      <c r="R86" s="71" t="n"/>
      <c r="S86" s="71" t="n"/>
      <c r="T86" s="71" t="n"/>
      <c r="U86" s="71" t="n"/>
      <c r="V86" s="71" t="n"/>
      <c r="W86" s="71" t="n"/>
      <c r="X86" s="71" t="n"/>
      <c r="Y86" s="71" t="n"/>
      <c r="Z86" s="71" t="n"/>
      <c r="AA86" s="71" t="n"/>
      <c r="AB86" s="71" t="n"/>
      <c r="AC86" s="71" t="n"/>
      <c r="AD86" s="71" t="n"/>
      <c r="AE86" s="71" t="n"/>
      <c r="AF86" s="71" t="n"/>
      <c r="AG86" s="72" t="n"/>
    </row>
    <row r="87">
      <c r="A87" s="75" t="inlineStr">
        <is>
          <t>dead silence</t>
        </is>
      </c>
      <c r="B87" s="74">
        <f>IFERROR(ROUND(AVERAGE(C87:AE87),2),"")</f>
        <v/>
      </c>
      <c r="C87" s="75" t="n">
        <v>7.5</v>
      </c>
      <c r="D87" s="75" t="n">
        <v>6</v>
      </c>
      <c r="E87" s="75" t="n"/>
      <c r="F87" s="75" t="n"/>
      <c r="G87" s="75" t="n">
        <v>6</v>
      </c>
      <c r="H87" s="75" t="n"/>
      <c r="I87" s="75" t="n"/>
      <c r="J87" s="75" t="n"/>
      <c r="K87" s="75" t="n"/>
      <c r="L87" s="75" t="n"/>
      <c r="M87" s="75" t="n"/>
      <c r="N87" s="75" t="n"/>
      <c r="O87" s="75" t="n"/>
      <c r="P87" s="75" t="n">
        <v>4</v>
      </c>
      <c r="Q87" s="75" t="n"/>
      <c r="R87" s="75" t="n"/>
      <c r="S87" s="75" t="n">
        <v>5</v>
      </c>
      <c r="T87" s="75" t="n"/>
      <c r="U87" s="75" t="n"/>
      <c r="V87" s="75" t="n"/>
      <c r="W87" s="75" t="n"/>
      <c r="X87" s="75" t="n"/>
      <c r="Y87" s="75" t="n"/>
      <c r="Z87" s="75" t="n">
        <v>5</v>
      </c>
      <c r="AA87" s="75" t="n"/>
      <c r="AB87" s="75" t="n"/>
      <c r="AC87" s="75" t="n">
        <v>4</v>
      </c>
      <c r="AD87" s="75" t="n"/>
      <c r="AE87" s="75" t="n"/>
      <c r="AF87" s="75">
        <f>IF(COUNT(C87:U87)=0,"",COUNT(C87:U87))</f>
        <v/>
      </c>
      <c r="AG87" s="74" t="n"/>
    </row>
    <row r="88">
      <c r="A88" s="75" t="inlineStr">
        <is>
          <t>annabelle 2</t>
        </is>
      </c>
      <c r="B88" s="74">
        <f>IFERROR(ROUND(AVERAGE(C88:AE88),2),"")</f>
        <v/>
      </c>
      <c r="C88" s="75" t="n">
        <v>3</v>
      </c>
      <c r="D88" s="75" t="n">
        <v>5</v>
      </c>
      <c r="E88" s="75" t="n"/>
      <c r="F88" s="75" t="n"/>
      <c r="G88" s="75" t="n">
        <v>5</v>
      </c>
      <c r="H88" s="75" t="n">
        <v>6</v>
      </c>
      <c r="I88" s="75" t="n"/>
      <c r="J88" s="75" t="n"/>
      <c r="K88" s="75" t="n"/>
      <c r="L88" s="75" t="n"/>
      <c r="M88" s="75" t="n"/>
      <c r="N88" s="75" t="n"/>
      <c r="O88" s="75" t="n"/>
      <c r="P88" s="75" t="n">
        <v>2</v>
      </c>
      <c r="Q88" s="75" t="n"/>
      <c r="R88" s="75" t="n"/>
      <c r="S88" s="75" t="n"/>
      <c r="T88" s="75" t="n"/>
      <c r="U88" s="75" t="n"/>
      <c r="V88" s="75" t="n"/>
      <c r="W88" s="75" t="n"/>
      <c r="X88" s="75" t="n"/>
      <c r="Y88" s="75" t="n"/>
      <c r="Z88" s="75" t="n">
        <v>5.5</v>
      </c>
      <c r="AA88" s="75" t="n"/>
      <c r="AB88" s="75" t="n"/>
      <c r="AC88" s="75" t="n"/>
      <c r="AD88" s="75" t="n"/>
      <c r="AE88" s="75" t="n"/>
      <c r="AF88" s="75">
        <f>IF(COUNT(C88:U88)=0,"",COUNT(C88:U88))</f>
        <v/>
      </c>
      <c r="AG88" s="74" t="n"/>
    </row>
    <row r="89">
      <c r="A89" s="75" t="inlineStr">
        <is>
          <t>lost boy</t>
        </is>
      </c>
      <c r="B89" s="74">
        <f>IFERROR(ROUND(AVERAGE(C89:AE89),2),"")</f>
        <v/>
      </c>
      <c r="C89" s="75" t="n">
        <v>5.5</v>
      </c>
      <c r="D89" s="75" t="n">
        <v>8</v>
      </c>
      <c r="E89" s="75" t="n">
        <v>7.5</v>
      </c>
      <c r="F89" s="75" t="n"/>
      <c r="G89" s="75" t="n">
        <v>8</v>
      </c>
      <c r="H89" s="75" t="n">
        <v>9</v>
      </c>
      <c r="I89" s="75" t="n"/>
      <c r="J89" s="75" t="n"/>
      <c r="K89" s="75" t="n"/>
      <c r="L89" s="75" t="n"/>
      <c r="M89" s="75" t="n"/>
      <c r="N89" s="75" t="n"/>
      <c r="O89" s="75" t="n"/>
      <c r="P89" s="75" t="n">
        <v>5</v>
      </c>
      <c r="Q89" s="75" t="n"/>
      <c r="R89" s="75" t="n"/>
      <c r="S89" s="75" t="n"/>
      <c r="T89" s="75" t="n"/>
      <c r="U89" s="75" t="n"/>
      <c r="V89" s="75" t="n"/>
      <c r="W89" s="75" t="n"/>
      <c r="X89" s="75" t="n"/>
      <c r="Y89" s="75" t="n"/>
      <c r="Z89" s="75" t="n">
        <v>7.5</v>
      </c>
      <c r="AA89" s="75" t="n"/>
      <c r="AB89" s="75" t="n"/>
      <c r="AC89" s="75" t="n"/>
      <c r="AD89" s="75" t="n"/>
      <c r="AE89" s="75" t="n"/>
      <c r="AF89" s="75">
        <f>IF(COUNT(C89:U89)=0,"",COUNT(C89:U89))</f>
        <v/>
      </c>
      <c r="AG89" s="74" t="n"/>
    </row>
    <row r="90">
      <c r="A90" s="71" t="inlineStr">
        <is>
          <t>Średnia nocy</t>
        </is>
      </c>
      <c r="B90" s="72" t="n"/>
      <c r="C90" s="71" t="n"/>
      <c r="D90" s="71" t="n"/>
      <c r="E90" s="71" t="n"/>
      <c r="F90" s="71" t="n"/>
      <c r="G90" s="71" t="n"/>
      <c r="H90" s="71" t="n"/>
      <c r="I90" s="71" t="n"/>
      <c r="J90" s="71" t="n"/>
      <c r="K90" s="71" t="n"/>
      <c r="L90" s="71" t="n"/>
      <c r="M90" s="71" t="n"/>
      <c r="N90" s="71" t="n"/>
      <c r="O90" s="71" t="n"/>
      <c r="P90" s="71" t="n"/>
      <c r="Q90" s="71" t="n"/>
      <c r="R90" s="71" t="n"/>
      <c r="S90" s="71" t="n"/>
      <c r="T90" s="71" t="n"/>
      <c r="U90" s="71" t="n"/>
      <c r="V90" s="71" t="n"/>
      <c r="W90" s="71" t="n"/>
      <c r="X90" s="71" t="n"/>
      <c r="Y90" s="71" t="n"/>
      <c r="Z90" s="71" t="n"/>
      <c r="AA90" s="71" t="n"/>
      <c r="AB90" s="71" t="n"/>
      <c r="AC90" s="71" t="n"/>
      <c r="AD90" s="71" t="n"/>
      <c r="AE90" s="71" t="n"/>
      <c r="AF90" s="71" t="n"/>
      <c r="AG90" s="72" t="n"/>
    </row>
    <row r="91">
      <c r="A91" s="75" t="inlineStr">
        <is>
          <t>dont breathe 2</t>
        </is>
      </c>
      <c r="B91" s="74">
        <f>IFERROR(ROUND(AVERAGE(C91:AE91),2),"")</f>
        <v/>
      </c>
      <c r="C91" s="75" t="n">
        <v>4</v>
      </c>
      <c r="D91" s="75" t="n">
        <v>3</v>
      </c>
      <c r="E91" s="75" t="n"/>
      <c r="F91" s="75" t="n"/>
      <c r="G91" s="75" t="n">
        <v>4.5</v>
      </c>
      <c r="H91" s="75" t="n"/>
      <c r="I91" s="75" t="n"/>
      <c r="J91" s="75" t="n"/>
      <c r="K91" s="75" t="n"/>
      <c r="L91" s="75" t="n"/>
      <c r="M91" s="81" t="n"/>
      <c r="N91" s="75" t="n"/>
      <c r="O91" s="75" t="n"/>
      <c r="P91" s="75" t="n">
        <v>4</v>
      </c>
      <c r="Q91" s="75" t="n"/>
      <c r="R91" s="75" t="n"/>
      <c r="S91" s="75" t="n"/>
      <c r="T91" s="75" t="n">
        <v>4</v>
      </c>
      <c r="U91" s="75" t="n"/>
      <c r="V91" s="75" t="n"/>
      <c r="W91" s="75" t="n"/>
      <c r="X91" s="75" t="n"/>
      <c r="Y91" s="75" t="n"/>
      <c r="Z91" s="75" t="n"/>
      <c r="AA91" s="75" t="n"/>
      <c r="AB91" s="75" t="n">
        <v>3</v>
      </c>
      <c r="AC91" s="75" t="n">
        <v>5</v>
      </c>
      <c r="AD91" s="75" t="n">
        <v>5</v>
      </c>
      <c r="AE91" s="75" t="n"/>
      <c r="AF91" s="75">
        <f>IF(COUNT(C91:U91)=0,"",COUNT(C91:U91))</f>
        <v/>
      </c>
      <c r="AG91" s="74" t="n"/>
    </row>
    <row r="92">
      <c r="A92" s="75" t="inlineStr">
        <is>
          <t>dr sen</t>
        </is>
      </c>
      <c r="B92" s="74">
        <f>IFERROR(ROUND(AVERAGE(C92:AE92),2),"")</f>
        <v/>
      </c>
      <c r="C92" s="75" t="n">
        <v>5</v>
      </c>
      <c r="D92" s="75" t="n">
        <v>6</v>
      </c>
      <c r="E92" s="75" t="n">
        <v>4</v>
      </c>
      <c r="F92" s="75" t="n"/>
      <c r="G92" s="75" t="n">
        <v>8.5</v>
      </c>
      <c r="H92" s="75" t="n">
        <v>5</v>
      </c>
      <c r="I92" s="75" t="n"/>
      <c r="J92" s="75" t="n"/>
      <c r="K92" s="75" t="n"/>
      <c r="L92" s="75" t="n"/>
      <c r="M92" s="75" t="n"/>
      <c r="N92" s="75" t="n"/>
      <c r="O92" s="75" t="n"/>
      <c r="P92" s="75" t="n">
        <v>6</v>
      </c>
      <c r="Q92" s="75" t="n"/>
      <c r="R92" s="75" t="n"/>
      <c r="S92" s="75" t="n"/>
      <c r="T92" s="75" t="n">
        <v>6</v>
      </c>
      <c r="U92" s="75" t="n"/>
      <c r="V92" s="75" t="n"/>
      <c r="W92" s="75" t="n"/>
      <c r="X92" s="75" t="n"/>
      <c r="Y92" s="75" t="n"/>
      <c r="Z92" s="75" t="n"/>
      <c r="AA92" s="75" t="n"/>
      <c r="AB92" s="75" t="n"/>
      <c r="AC92" s="75" t="n">
        <v>6</v>
      </c>
      <c r="AD92" s="75" t="n">
        <v>4</v>
      </c>
      <c r="AE92" s="75" t="n"/>
      <c r="AF92" s="75">
        <f>IF(COUNT(C92:U92)=0,"",COUNT(C92:U92))</f>
        <v/>
      </c>
      <c r="AG92" s="74" t="n"/>
    </row>
    <row r="93">
      <c r="A93" s="75" t="inlineStr">
        <is>
          <t>brahms: the boy 2</t>
        </is>
      </c>
      <c r="B93" s="74">
        <f>IFERROR(ROUND(AVERAGE(C93:AE93),2),"")</f>
        <v/>
      </c>
      <c r="C93" s="75" t="n">
        <v>5</v>
      </c>
      <c r="D93" s="75" t="n">
        <v>2</v>
      </c>
      <c r="E93" s="75" t="n">
        <v>4</v>
      </c>
      <c r="F93" s="75" t="n"/>
      <c r="G93" s="75" t="n">
        <v>5.5</v>
      </c>
      <c r="H93" s="75" t="n">
        <v>4</v>
      </c>
      <c r="I93" s="75" t="n"/>
      <c r="J93" s="75" t="n"/>
      <c r="K93" s="75" t="n"/>
      <c r="L93" s="75" t="n"/>
      <c r="M93" s="75" t="n"/>
      <c r="N93" s="75" t="n"/>
      <c r="O93" s="75" t="n"/>
      <c r="P93" s="75" t="n">
        <v>3</v>
      </c>
      <c r="Q93" s="75" t="n"/>
      <c r="R93" s="75" t="n"/>
      <c r="S93" s="75" t="n"/>
      <c r="T93" s="75" t="n"/>
      <c r="U93" s="75" t="n"/>
      <c r="V93" s="75" t="n"/>
      <c r="W93" s="75" t="n"/>
      <c r="X93" s="75" t="n"/>
      <c r="Y93" s="75" t="n"/>
      <c r="Z93" s="75" t="n"/>
      <c r="AA93" s="75" t="n"/>
      <c r="AB93" s="75" t="n"/>
      <c r="AC93" s="75" t="n">
        <v>3</v>
      </c>
      <c r="AD93" s="75" t="n">
        <v>4</v>
      </c>
      <c r="AE93" s="75" t="n"/>
      <c r="AF93" s="75">
        <f>IF(COUNT(C93:U93)=0,"",COUNT(C93:U93))</f>
        <v/>
      </c>
      <c r="AG93" s="74" t="n"/>
    </row>
    <row r="94">
      <c r="A94" s="71" t="inlineStr">
        <is>
          <t>Średnia nocy</t>
        </is>
      </c>
      <c r="B94" s="72" t="n"/>
      <c r="C94" s="71" t="n"/>
      <c r="D94" s="71" t="n"/>
      <c r="E94" s="71" t="n"/>
      <c r="F94" s="71" t="n"/>
      <c r="G94" s="71" t="n"/>
      <c r="H94" s="71" t="n"/>
      <c r="I94" s="71" t="n"/>
      <c r="J94" s="71" t="n"/>
      <c r="K94" s="71" t="n"/>
      <c r="L94" s="71" t="n"/>
      <c r="M94" s="71" t="n"/>
      <c r="N94" s="71" t="n"/>
      <c r="O94" s="71" t="n"/>
      <c r="P94" s="71" t="n"/>
      <c r="Q94" s="71" t="n"/>
      <c r="R94" s="71" t="n"/>
      <c r="S94" s="71" t="n"/>
      <c r="T94" s="71" t="n"/>
      <c r="U94" s="71" t="n"/>
      <c r="V94" s="71" t="n"/>
      <c r="W94" s="71" t="n"/>
      <c r="X94" s="71" t="n"/>
      <c r="Y94" s="71" t="n"/>
      <c r="Z94" s="71" t="n"/>
      <c r="AA94" s="71" t="n"/>
      <c r="AB94" s="71" t="n"/>
      <c r="AC94" s="71" t="n"/>
      <c r="AD94" s="71" t="n"/>
      <c r="AE94" s="71" t="n"/>
      <c r="AF94" s="71" t="n"/>
      <c r="AG94" s="72" t="n"/>
    </row>
    <row r="95">
      <c r="A95" s="75" t="inlineStr">
        <is>
          <t>strangers 2: prey at night</t>
        </is>
      </c>
      <c r="B95" s="74">
        <f>IFERROR(ROUND(AVERAGE(C95:AE95),2),"")</f>
        <v/>
      </c>
      <c r="C95" s="75" t="n">
        <v>1</v>
      </c>
      <c r="D95" s="75" t="n">
        <v>2</v>
      </c>
      <c r="E95" s="75" t="n"/>
      <c r="F95" s="75" t="n">
        <v>4</v>
      </c>
      <c r="G95" s="75" t="n">
        <v>4</v>
      </c>
      <c r="H95" s="75" t="n"/>
      <c r="I95" s="75" t="n"/>
      <c r="J95" s="75" t="n"/>
      <c r="K95" s="75" t="n">
        <v>3</v>
      </c>
      <c r="L95" s="75" t="n"/>
      <c r="M95" s="75" t="n"/>
      <c r="N95" s="75" t="n"/>
      <c r="O95" s="75" t="n"/>
      <c r="P95" s="75" t="n">
        <v>2</v>
      </c>
      <c r="Q95" s="75" t="n"/>
      <c r="R95" s="75" t="n">
        <v>4</v>
      </c>
      <c r="S95" s="75" t="n">
        <v>7</v>
      </c>
      <c r="T95" s="75" t="n"/>
      <c r="U95" s="75" t="n">
        <v>4</v>
      </c>
      <c r="V95" s="75" t="n"/>
      <c r="W95" s="75" t="n"/>
      <c r="X95" s="75" t="n"/>
      <c r="Y95" s="75" t="n"/>
      <c r="Z95" s="75" t="n">
        <v>3</v>
      </c>
      <c r="AA95" s="75" t="n"/>
      <c r="AB95" s="75" t="n"/>
      <c r="AC95" s="75" t="n"/>
      <c r="AD95" s="75" t="n">
        <v>4</v>
      </c>
      <c r="AE95" s="75" t="n"/>
      <c r="AF95" s="75">
        <f>IF(COUNT(C95:U95)=0,"",COUNT(C95:U95))</f>
        <v/>
      </c>
      <c r="AG95" s="74" t="n"/>
    </row>
    <row r="96">
      <c r="A96" s="75" t="inlineStr">
        <is>
          <t>kubus puchatek krew i miod</t>
        </is>
      </c>
      <c r="B96" s="74">
        <f>IFERROR(ROUND(AVERAGE(C96:AE96),2),"")</f>
        <v/>
      </c>
      <c r="C96" s="75" t="n">
        <v>6</v>
      </c>
      <c r="D96" s="75" t="n">
        <v>2</v>
      </c>
      <c r="E96" s="75" t="n">
        <v>6</v>
      </c>
      <c r="F96" s="75" t="n">
        <v>6</v>
      </c>
      <c r="G96" s="75" t="n">
        <v>6</v>
      </c>
      <c r="H96" s="75" t="n">
        <v>7</v>
      </c>
      <c r="I96" s="75" t="n"/>
      <c r="J96" s="75" t="n"/>
      <c r="K96" s="75" t="n">
        <v>1</v>
      </c>
      <c r="L96" s="75" t="n"/>
      <c r="M96" s="75" t="n"/>
      <c r="N96" s="75" t="n"/>
      <c r="O96" s="75" t="n"/>
      <c r="P96" s="75" t="n">
        <v>2</v>
      </c>
      <c r="Q96" s="75" t="n"/>
      <c r="R96" s="75" t="n">
        <v>1</v>
      </c>
      <c r="S96" s="75" t="n">
        <v>5</v>
      </c>
      <c r="T96" s="75" t="n">
        <v>1</v>
      </c>
      <c r="U96" s="75" t="n">
        <v>6</v>
      </c>
      <c r="V96" s="75" t="n"/>
      <c r="W96" s="75" t="n"/>
      <c r="X96" s="75" t="n"/>
      <c r="Y96" s="75" t="n"/>
      <c r="Z96" s="75" t="n">
        <v>4</v>
      </c>
      <c r="AA96" s="75" t="n"/>
      <c r="AB96" s="75" t="n">
        <v>4</v>
      </c>
      <c r="AC96" s="75" t="n">
        <v>2</v>
      </c>
      <c r="AD96" s="75" t="n">
        <v>7</v>
      </c>
      <c r="AE96" s="75" t="n">
        <v>7</v>
      </c>
      <c r="AF96" s="75">
        <f>IF(COUNT(C96:U96)=0,"",COUNT(C96:U96))</f>
        <v/>
      </c>
      <c r="AG96" s="74" t="n"/>
    </row>
    <row r="97">
      <c r="A97" s="75" t="inlineStr">
        <is>
          <t>czerwone pantofelki</t>
        </is>
      </c>
      <c r="B97" s="74">
        <f>IFERROR(ROUND(AVERAGE(C97:AE97),2),"")</f>
        <v/>
      </c>
      <c r="C97" s="75" t="n">
        <v>7</v>
      </c>
      <c r="D97" s="75" t="n">
        <v>4</v>
      </c>
      <c r="E97" s="75" t="n"/>
      <c r="F97" s="75" t="n"/>
      <c r="G97" s="75" t="n">
        <v>5</v>
      </c>
      <c r="H97" s="75" t="n">
        <v>4</v>
      </c>
      <c r="I97" s="75" t="n"/>
      <c r="J97" s="75" t="n"/>
      <c r="K97" s="75" t="n"/>
      <c r="L97" s="75" t="n"/>
      <c r="M97" s="75" t="n"/>
      <c r="N97" s="75" t="n"/>
      <c r="O97" s="75" t="n"/>
      <c r="P97" s="75" t="n">
        <v>6</v>
      </c>
      <c r="Q97" s="75" t="n"/>
      <c r="R97" s="75" t="n"/>
      <c r="S97" s="75" t="n"/>
      <c r="T97" s="75" t="n">
        <v>7</v>
      </c>
      <c r="U97" s="75" t="n">
        <v>10</v>
      </c>
      <c r="V97" s="75" t="n"/>
      <c r="W97" s="75" t="n"/>
      <c r="X97" s="75" t="n"/>
      <c r="Y97" s="75" t="n"/>
      <c r="Z97" s="75" t="n">
        <v>8</v>
      </c>
      <c r="AA97" s="75" t="n"/>
      <c r="AB97" s="75" t="n">
        <v>4</v>
      </c>
      <c r="AC97" s="75" t="n"/>
      <c r="AD97" s="75" t="n">
        <v>5</v>
      </c>
      <c r="AE97" s="75" t="n"/>
      <c r="AF97" s="75">
        <f>IF(COUNT(C97:U97)=0,"",COUNT(C97:U97))</f>
        <v/>
      </c>
      <c r="AG97" s="74" t="n"/>
    </row>
    <row r="98">
      <c r="A98" s="71" t="inlineStr">
        <is>
          <t>Średnia nocy</t>
        </is>
      </c>
      <c r="B98" s="72" t="n"/>
      <c r="C98" s="71" t="n"/>
      <c r="D98" s="71" t="n"/>
      <c r="E98" s="71" t="n"/>
      <c r="F98" s="71" t="n"/>
      <c r="G98" s="71" t="n"/>
      <c r="H98" s="71" t="n"/>
      <c r="I98" s="71" t="n"/>
      <c r="J98" s="71" t="n"/>
      <c r="K98" s="71" t="n"/>
      <c r="L98" s="71" t="n"/>
      <c r="M98" s="71" t="n"/>
      <c r="N98" s="71" t="n"/>
      <c r="O98" s="71" t="n"/>
      <c r="P98" s="71" t="n"/>
      <c r="Q98" s="71" t="n"/>
      <c r="R98" s="71" t="n"/>
      <c r="S98" s="71" t="n"/>
      <c r="T98" s="71" t="n"/>
      <c r="U98" s="71" t="n"/>
      <c r="V98" s="71" t="n"/>
      <c r="W98" s="71" t="n"/>
      <c r="X98" s="71" t="n"/>
      <c r="Y98" s="71" t="n"/>
      <c r="Z98" s="71" t="n"/>
      <c r="AA98" s="71" t="n"/>
      <c r="AB98" s="71" t="n"/>
      <c r="AC98" s="71" t="n"/>
      <c r="AD98" s="71" t="n"/>
      <c r="AE98" s="71" t="n"/>
      <c r="AF98" s="71" t="n"/>
      <c r="AG98" s="72" t="n"/>
    </row>
    <row r="99">
      <c r="A99" s="75" t="inlineStr">
        <is>
          <t>małe zło</t>
        </is>
      </c>
      <c r="B99" s="74">
        <f>IFERROR(ROUND(AVERAGE(C99:AE99),2),"")</f>
        <v/>
      </c>
      <c r="C99" s="75" t="n">
        <v>6</v>
      </c>
      <c r="D99" s="75" t="n">
        <v>6</v>
      </c>
      <c r="E99" s="75" t="n">
        <v>2</v>
      </c>
      <c r="F99" s="75" t="n">
        <v>5</v>
      </c>
      <c r="G99" s="75" t="n">
        <v>7</v>
      </c>
      <c r="H99" s="75" t="n"/>
      <c r="I99" s="75" t="n"/>
      <c r="J99" s="75" t="n">
        <v>4</v>
      </c>
      <c r="K99" s="75" t="n"/>
      <c r="L99" s="75" t="n"/>
      <c r="M99" s="75" t="n"/>
      <c r="N99" s="75" t="n"/>
      <c r="O99" s="75" t="n">
        <v>4.5</v>
      </c>
      <c r="P99" s="75" t="n">
        <v>4</v>
      </c>
      <c r="Q99" s="75" t="n"/>
      <c r="R99" s="75" t="n">
        <v>6</v>
      </c>
      <c r="S99" s="75" t="n"/>
      <c r="T99" s="75" t="n">
        <v>6</v>
      </c>
      <c r="U99" s="75" t="n"/>
      <c r="V99" s="75" t="n"/>
      <c r="W99" s="75" t="n"/>
      <c r="X99" s="75" t="n"/>
      <c r="Y99" s="75" t="n"/>
      <c r="Z99" s="75" t="n"/>
      <c r="AA99" s="75" t="n"/>
      <c r="AB99" s="75" t="n"/>
      <c r="AC99" s="75" t="n"/>
      <c r="AD99" s="75" t="n"/>
      <c r="AE99" s="75" t="n">
        <v>7</v>
      </c>
      <c r="AF99" s="75">
        <f>IF(COUNT(C99:U99)=0,"",COUNT(C99:U99))</f>
        <v/>
      </c>
      <c r="AG99" s="74" t="n"/>
    </row>
    <row r="100">
      <c r="A100" s="75" t="inlineStr">
        <is>
          <t>ostatnia wieczerza</t>
        </is>
      </c>
      <c r="B100" s="74">
        <f>IFERROR(ROUND(AVERAGE(C100:AE100),2),"")</f>
        <v/>
      </c>
      <c r="C100" s="75" t="n">
        <v>10</v>
      </c>
      <c r="D100" s="75" t="n">
        <v>8</v>
      </c>
      <c r="E100" s="75" t="n">
        <v>7</v>
      </c>
      <c r="F100" s="75" t="n">
        <v>8</v>
      </c>
      <c r="G100" s="75" t="n">
        <v>6</v>
      </c>
      <c r="H100" s="75" t="n">
        <v>8</v>
      </c>
      <c r="I100" s="75" t="n"/>
      <c r="J100" s="75" t="n">
        <v>8</v>
      </c>
      <c r="K100" s="75" t="n"/>
      <c r="L100" s="75" t="n"/>
      <c r="M100" s="75" t="n"/>
      <c r="N100" s="75" t="n"/>
      <c r="O100" s="75" t="n"/>
      <c r="P100" s="75" t="n">
        <v>6</v>
      </c>
      <c r="Q100" s="75" t="n"/>
      <c r="R100" s="75" t="n">
        <v>8</v>
      </c>
      <c r="S100" s="75" t="n"/>
      <c r="T100" s="75" t="n">
        <v>10</v>
      </c>
      <c r="U100" s="75" t="n"/>
      <c r="V100" s="75" t="n"/>
      <c r="W100" s="75" t="n"/>
      <c r="X100" s="75" t="n"/>
      <c r="Y100" s="75" t="n"/>
      <c r="Z100" s="75" t="n">
        <v>6</v>
      </c>
      <c r="AA100" s="75" t="n"/>
      <c r="AB100" s="75" t="n"/>
      <c r="AC100" s="75" t="n"/>
      <c r="AD100" s="75" t="n"/>
      <c r="AE100" s="75" t="n">
        <v>8</v>
      </c>
      <c r="AF100" s="75">
        <f>IF(COUNT(C100:U100)=0,"",COUNT(C100:U100))</f>
        <v/>
      </c>
      <c r="AG100" s="74" t="n"/>
    </row>
    <row r="101">
      <c r="A101" s="75" t="inlineStr">
        <is>
          <t>the possessed</t>
        </is>
      </c>
      <c r="B101" s="74">
        <f>IFERROR(ROUND(AVERAGE(C101:AE101),2),"")</f>
        <v/>
      </c>
      <c r="C101" s="75" t="n">
        <v>1</v>
      </c>
      <c r="D101" s="75" t="n">
        <v>1</v>
      </c>
      <c r="E101" s="75" t="n"/>
      <c r="F101" s="75" t="n"/>
      <c r="G101" s="75" t="n">
        <v>2</v>
      </c>
      <c r="H101" s="75" t="n">
        <v>1</v>
      </c>
      <c r="I101" s="75" t="n"/>
      <c r="J101" s="75" t="n"/>
      <c r="K101" s="75" t="n"/>
      <c r="L101" s="75" t="n"/>
      <c r="M101" s="75" t="n"/>
      <c r="N101" s="75" t="n"/>
      <c r="O101" s="75" t="n"/>
      <c r="P101" s="75" t="n">
        <v>5</v>
      </c>
      <c r="Q101" s="75" t="n"/>
      <c r="R101" s="75" t="n"/>
      <c r="S101" s="75" t="n"/>
      <c r="T101" s="75" t="n">
        <v>5</v>
      </c>
      <c r="U101" s="75" t="n"/>
      <c r="V101" s="75" t="n"/>
      <c r="W101" s="75" t="n"/>
      <c r="X101" s="75" t="n"/>
      <c r="Y101" s="75" t="n"/>
      <c r="Z101" s="75" t="n">
        <v>4</v>
      </c>
      <c r="AA101" s="75" t="n"/>
      <c r="AB101" s="75" t="n"/>
      <c r="AC101" s="75" t="n"/>
      <c r="AD101" s="75" t="n"/>
      <c r="AE101" s="75" t="n"/>
      <c r="AF101" s="75">
        <f>IF(COUNT(C101:U101)=0,"",COUNT(C101:U101))</f>
        <v/>
      </c>
      <c r="AG101" s="74" t="n"/>
    </row>
    <row r="102">
      <c r="A102" s="71" t="inlineStr">
        <is>
          <t>Średnia nocy</t>
        </is>
      </c>
      <c r="B102" s="72" t="n"/>
      <c r="C102" s="71" t="n"/>
      <c r="D102" s="71" t="n"/>
      <c r="E102" s="71" t="n"/>
      <c r="F102" s="71" t="n"/>
      <c r="G102" s="71" t="n"/>
      <c r="H102" s="71" t="n"/>
      <c r="I102" s="71" t="n"/>
      <c r="J102" s="71" t="n"/>
      <c r="K102" s="71" t="n"/>
      <c r="L102" s="71" t="n"/>
      <c r="M102" s="71" t="n"/>
      <c r="N102" s="71" t="n"/>
      <c r="O102" s="71" t="n"/>
      <c r="P102" s="71" t="n"/>
      <c r="Q102" s="71" t="n"/>
      <c r="R102" s="71" t="n"/>
      <c r="S102" s="71" t="n"/>
      <c r="T102" s="71" t="n"/>
      <c r="U102" s="71" t="n"/>
      <c r="V102" s="71" t="n"/>
      <c r="W102" s="71" t="n"/>
      <c r="X102" s="71" t="n"/>
      <c r="Y102" s="71" t="n"/>
      <c r="Z102" s="71" t="n"/>
      <c r="AA102" s="71" t="n"/>
      <c r="AB102" s="71" t="n"/>
      <c r="AC102" s="71" t="n"/>
      <c r="AD102" s="71" t="n"/>
      <c r="AE102" s="71" t="n"/>
      <c r="AF102" s="71" t="n"/>
      <c r="AG102" s="72" t="n"/>
    </row>
    <row r="103">
      <c r="A103" s="107" t="inlineStr">
        <is>
          <t>ania i apokalipsa</t>
        </is>
      </c>
      <c r="B103" s="74">
        <f>IFERROR(ROUND(AVERAGE(C103:AE103),2),"")</f>
        <v/>
      </c>
      <c r="C103" s="107" t="n">
        <v>6</v>
      </c>
      <c r="D103" s="107" t="n">
        <v>3</v>
      </c>
      <c r="G103" s="107" t="n">
        <v>3.5</v>
      </c>
      <c r="H103" s="107" t="n">
        <v>8.5</v>
      </c>
      <c r="O103" s="107" t="n">
        <v>6</v>
      </c>
      <c r="P103" s="107" t="n">
        <v>3</v>
      </c>
      <c r="Q103" s="107" t="n">
        <v>2.5</v>
      </c>
      <c r="AC103" s="107" t="n">
        <v>5</v>
      </c>
      <c r="AF103" s="75">
        <f>IF(COUNT(C103:U103)=0,"",COUNT(C103:U103))</f>
        <v/>
      </c>
      <c r="AG103" s="104" t="n"/>
    </row>
    <row r="104">
      <c r="A104" s="107" t="inlineStr">
        <is>
          <t>rocky horror picture show</t>
        </is>
      </c>
      <c r="B104" s="74">
        <f>IFERROR(ROUND(AVERAGE(C104:AE104),2),"")</f>
        <v/>
      </c>
      <c r="C104" s="107" t="n">
        <v>7</v>
      </c>
      <c r="D104" s="107" t="n">
        <v>1</v>
      </c>
      <c r="G104" s="107" t="n">
        <v>8</v>
      </c>
      <c r="H104" s="107" t="n">
        <v>4</v>
      </c>
      <c r="O104" s="107" t="n">
        <v>7</v>
      </c>
      <c r="Q104" s="107" t="n">
        <v>7.5</v>
      </c>
      <c r="AC104" s="107" t="n">
        <v>9</v>
      </c>
      <c r="AF104" s="75">
        <f>IF(COUNT(C104:U104)=0,"",COUNT(C104:U104))</f>
        <v/>
      </c>
      <c r="AG104" s="104" t="n"/>
    </row>
    <row r="105">
      <c r="A105" s="71" t="inlineStr">
        <is>
          <t>Średnia nocy</t>
        </is>
      </c>
      <c r="B105" s="72" t="n"/>
      <c r="C105" s="71" t="n"/>
      <c r="D105" s="71" t="n"/>
      <c r="E105" s="71" t="n"/>
      <c r="F105" s="71" t="n"/>
      <c r="G105" s="71" t="n"/>
      <c r="H105" s="71" t="n"/>
      <c r="I105" s="71" t="n"/>
      <c r="J105" s="71" t="n"/>
      <c r="K105" s="71" t="n"/>
      <c r="L105" s="71" t="n"/>
      <c r="M105" s="71" t="n"/>
      <c r="N105" s="71" t="n"/>
      <c r="O105" s="71" t="n"/>
      <c r="P105" s="71" t="n"/>
      <c r="Q105" s="71" t="n"/>
      <c r="R105" s="71" t="n"/>
      <c r="S105" s="71" t="n"/>
      <c r="T105" s="71" t="n"/>
      <c r="U105" s="71" t="n"/>
      <c r="V105" s="71" t="n"/>
      <c r="W105" s="71" t="n"/>
      <c r="X105" s="71" t="n"/>
      <c r="Y105" s="71" t="n"/>
      <c r="Z105" s="71" t="n"/>
      <c r="AA105" s="71" t="n"/>
      <c r="AB105" s="71" t="n"/>
      <c r="AC105" s="71" t="n"/>
      <c r="AD105" s="71" t="n"/>
      <c r="AE105" s="71" t="n"/>
      <c r="AF105" s="71" t="n"/>
      <c r="AG105" s="72" t="n"/>
    </row>
    <row r="106">
      <c r="A106" s="107" t="inlineStr">
        <is>
          <t>his house</t>
        </is>
      </c>
      <c r="B106" s="74">
        <f>IFERROR(ROUND(AVERAGE(C106:AE106),2),"")</f>
        <v/>
      </c>
      <c r="C106" s="107" t="n">
        <v>6</v>
      </c>
      <c r="D106" s="107" t="n">
        <v>4</v>
      </c>
      <c r="E106" s="107" t="n">
        <v>7</v>
      </c>
      <c r="F106" s="107" t="n">
        <v>5</v>
      </c>
      <c r="G106" s="107" t="n">
        <v>7</v>
      </c>
      <c r="N106" s="107" t="n">
        <v>7.5</v>
      </c>
      <c r="P106" s="107" t="n">
        <v>8</v>
      </c>
      <c r="T106" s="107" t="n">
        <v>10</v>
      </c>
      <c r="AC106" s="107" t="n">
        <v>5</v>
      </c>
      <c r="AF106" s="75">
        <f>IF(COUNT(C106:U106)=0,"",COUNT(C106:U106))</f>
        <v/>
      </c>
      <c r="AG106" s="104" t="n"/>
    </row>
    <row r="107">
      <c r="A107" s="107" t="inlineStr">
        <is>
          <t>fresh</t>
        </is>
      </c>
      <c r="B107" s="74">
        <f>IFERROR(ROUND(AVERAGE(C107:AE107),2),"")</f>
        <v/>
      </c>
      <c r="C107" s="107" t="n">
        <v>10</v>
      </c>
      <c r="D107" s="107" t="n">
        <v>6</v>
      </c>
      <c r="E107" s="107" t="n">
        <v>10</v>
      </c>
      <c r="F107" s="107" t="n">
        <v>7.5</v>
      </c>
      <c r="G107" s="107" t="n">
        <v>8.5</v>
      </c>
      <c r="P107" s="107" t="n">
        <v>8</v>
      </c>
      <c r="T107" s="107" t="n">
        <v>8</v>
      </c>
      <c r="Z107" s="107" t="n">
        <v>8.5</v>
      </c>
      <c r="AC107" s="107" t="n">
        <v>7</v>
      </c>
      <c r="AF107" s="75">
        <f>IF(COUNT(C107:U107)=0,"",COUNT(C107:U107))</f>
        <v/>
      </c>
      <c r="AG107" s="104" t="n"/>
    </row>
    <row r="108">
      <c r="A108" s="107" t="inlineStr">
        <is>
          <t>hellraiser remake</t>
        </is>
      </c>
      <c r="B108" s="74">
        <f>IFERROR(ROUND(AVERAGE(C108:AE108),2),"")</f>
        <v/>
      </c>
      <c r="C108" s="107" t="n">
        <v>2</v>
      </c>
      <c r="D108" s="107" t="n">
        <v>8</v>
      </c>
      <c r="E108" s="107" t="n">
        <v>8</v>
      </c>
      <c r="G108" s="107" t="n">
        <v>7</v>
      </c>
      <c r="P108" s="107" t="n">
        <v>6</v>
      </c>
      <c r="T108" s="107" t="n">
        <v>6</v>
      </c>
      <c r="AF108" s="75">
        <f>IF(COUNT(C108:U108)=0,"",COUNT(C108:U108))</f>
        <v/>
      </c>
      <c r="AG108" s="104" t="n"/>
    </row>
    <row r="109">
      <c r="AG109" s="104" t="n"/>
    </row>
    <row r="110">
      <c r="AG110" s="104" t="n"/>
    </row>
    <row r="111">
      <c r="AG111" s="104" t="n"/>
    </row>
    <row r="112">
      <c r="AG112" s="104" t="n"/>
    </row>
    <row r="113">
      <c r="AG113" s="104" t="n"/>
    </row>
    <row r="114">
      <c r="AG114" s="104" t="n"/>
    </row>
    <row r="115">
      <c r="AG115" s="104" t="n"/>
    </row>
    <row r="116">
      <c r="AG116" s="104" t="n"/>
    </row>
    <row r="117">
      <c r="AG117" s="104" t="n"/>
    </row>
    <row r="118">
      <c r="AG118" s="104" t="n"/>
    </row>
    <row r="119">
      <c r="AG119" s="104" t="n"/>
    </row>
    <row r="120">
      <c r="AG120" s="104" t="n"/>
    </row>
    <row r="121">
      <c r="AG121" s="104" t="n"/>
    </row>
    <row r="122">
      <c r="AG122" s="104" t="n"/>
    </row>
    <row r="123">
      <c r="AG123" s="104" t="n"/>
    </row>
    <row r="124">
      <c r="AG124" s="104" t="n"/>
    </row>
    <row r="125">
      <c r="AG125" s="104" t="n"/>
    </row>
    <row r="126">
      <c r="AG126" s="104" t="n"/>
    </row>
    <row r="127">
      <c r="AG127" s="104" t="n"/>
    </row>
    <row r="128">
      <c r="AG128" s="104" t="n"/>
    </row>
    <row r="129">
      <c r="AG129" s="104" t="n"/>
    </row>
    <row r="130">
      <c r="AG130" s="104" t="n"/>
    </row>
    <row r="131">
      <c r="AG131" s="104" t="n"/>
    </row>
    <row r="132">
      <c r="AG132" s="104" t="n"/>
    </row>
    <row r="133">
      <c r="AG133" s="104" t="n"/>
    </row>
    <row r="134">
      <c r="AG134" s="104" t="n"/>
    </row>
    <row r="135">
      <c r="AG135" s="104" t="n"/>
    </row>
    <row r="136">
      <c r="AG136" s="104" t="n"/>
    </row>
    <row r="137">
      <c r="AG137" s="104" t="n"/>
    </row>
    <row r="138">
      <c r="AG138" s="104" t="n"/>
    </row>
    <row r="139">
      <c r="AG139" s="104" t="n"/>
    </row>
    <row r="140">
      <c r="AG140" s="104" t="n"/>
    </row>
    <row r="141">
      <c r="AG141" s="104" t="n"/>
    </row>
    <row r="142">
      <c r="AG142" s="104" t="n"/>
    </row>
    <row r="143">
      <c r="AG143" s="104" t="n"/>
    </row>
    <row r="144">
      <c r="AG144" s="104" t="n"/>
    </row>
    <row r="145">
      <c r="AG145" s="104" t="n"/>
    </row>
    <row r="146">
      <c r="AG146" s="104" t="n"/>
    </row>
    <row r="147">
      <c r="AG147" s="104" t="n"/>
    </row>
    <row r="148">
      <c r="AG148" s="104" t="n"/>
    </row>
    <row r="149">
      <c r="AG149" s="104" t="n"/>
    </row>
    <row r="150">
      <c r="AG150" s="104" t="n"/>
    </row>
    <row r="151">
      <c r="AG151" s="104" t="n"/>
    </row>
    <row r="152">
      <c r="AG152" s="104" t="n"/>
    </row>
    <row r="153">
      <c r="AG153" s="104" t="n"/>
    </row>
    <row r="154">
      <c r="AG154" s="104" t="n"/>
    </row>
    <row r="155">
      <c r="AG155" s="104" t="n"/>
    </row>
    <row r="156">
      <c r="AG156" s="104" t="n"/>
    </row>
    <row r="157">
      <c r="AG157" s="104" t="n"/>
    </row>
    <row r="158">
      <c r="AG158" s="104" t="n"/>
    </row>
    <row r="159">
      <c r="AG159" s="104" t="n"/>
    </row>
    <row r="160">
      <c r="AG160" s="104" t="n"/>
    </row>
    <row r="161">
      <c r="AG161" s="104" t="n"/>
    </row>
    <row r="162">
      <c r="AG162" s="104" t="n"/>
    </row>
    <row r="163">
      <c r="AG163" s="104" t="n"/>
    </row>
    <row r="164">
      <c r="AG164" s="104" t="n"/>
    </row>
    <row r="165">
      <c r="AG165" s="104" t="n"/>
    </row>
    <row r="166">
      <c r="AG166" s="104" t="n"/>
    </row>
    <row r="167">
      <c r="AG167" s="104" t="n"/>
    </row>
    <row r="168">
      <c r="AG168" s="104" t="n"/>
    </row>
    <row r="169">
      <c r="AG169" s="104" t="n"/>
    </row>
    <row r="170">
      <c r="AG170" s="104" t="n"/>
    </row>
    <row r="171">
      <c r="AG171" s="104" t="n"/>
    </row>
    <row r="172">
      <c r="AG172" s="104" t="n"/>
    </row>
    <row r="173">
      <c r="AG173" s="104" t="n"/>
    </row>
    <row r="174">
      <c r="AG174" s="104" t="n"/>
    </row>
    <row r="175">
      <c r="AG175" s="104" t="n"/>
    </row>
    <row r="176">
      <c r="AG176" s="104" t="n"/>
    </row>
    <row r="177">
      <c r="AG177" s="104" t="n"/>
    </row>
    <row r="178">
      <c r="AG178" s="104" t="n"/>
    </row>
    <row r="179">
      <c r="AG179" s="104" t="n"/>
    </row>
    <row r="180">
      <c r="AG180" s="104" t="n"/>
    </row>
    <row r="181">
      <c r="AG181" s="104" t="n"/>
    </row>
    <row r="182">
      <c r="AG182" s="104" t="n"/>
    </row>
    <row r="183">
      <c r="AG183" s="104" t="n"/>
    </row>
    <row r="184">
      <c r="AG184" s="104" t="n"/>
    </row>
    <row r="185">
      <c r="AG185" s="104" t="n"/>
    </row>
    <row r="186">
      <c r="AG186" s="104" t="n"/>
    </row>
    <row r="187">
      <c r="AG187" s="104" t="n"/>
    </row>
    <row r="188">
      <c r="AG188" s="104" t="n"/>
    </row>
    <row r="189">
      <c r="AG189" s="104" t="n"/>
    </row>
    <row r="190">
      <c r="AG190" s="104" t="n"/>
    </row>
    <row r="191">
      <c r="AG191" s="104" t="n"/>
    </row>
    <row r="192">
      <c r="AG192" s="104" t="n"/>
    </row>
    <row r="193">
      <c r="AG193" s="104" t="n"/>
    </row>
    <row r="194">
      <c r="AG194" s="104" t="n"/>
    </row>
    <row r="195">
      <c r="AG195" s="104" t="n"/>
    </row>
    <row r="196">
      <c r="AG196" s="104" t="n"/>
    </row>
    <row r="197">
      <c r="AG197" s="104" t="n"/>
    </row>
    <row r="198">
      <c r="AG198" s="104" t="n"/>
    </row>
    <row r="199">
      <c r="AG199" s="104" t="n"/>
    </row>
    <row r="200">
      <c r="AG200" s="104" t="n"/>
    </row>
    <row r="201">
      <c r="AG201" s="104" t="n"/>
    </row>
    <row r="202">
      <c r="AG202" s="104" t="n"/>
    </row>
    <row r="203">
      <c r="AG203" s="104" t="n"/>
    </row>
    <row r="204">
      <c r="AG204" s="104" t="n"/>
    </row>
    <row r="205">
      <c r="AG205" s="104" t="n"/>
    </row>
    <row r="206">
      <c r="AG206" s="104" t="n"/>
    </row>
    <row r="207">
      <c r="AG207" s="104" t="n"/>
    </row>
    <row r="208">
      <c r="AG208" s="104" t="n"/>
    </row>
    <row r="209">
      <c r="AG209" s="104" t="n"/>
    </row>
    <row r="210">
      <c r="AG210" s="104" t="n"/>
    </row>
    <row r="211">
      <c r="AG211" s="104" t="n"/>
    </row>
    <row r="212">
      <c r="AG212" s="104" t="n"/>
    </row>
    <row r="213">
      <c r="AG213" s="104" t="n"/>
    </row>
    <row r="214">
      <c r="AG214" s="104" t="n"/>
    </row>
    <row r="215">
      <c r="AG215" s="104" t="n"/>
    </row>
    <row r="216">
      <c r="AG216" s="104" t="n"/>
    </row>
    <row r="217">
      <c r="AG217" s="104" t="n"/>
    </row>
    <row r="218">
      <c r="AG218" s="104" t="n"/>
    </row>
    <row r="219">
      <c r="AG219" s="104" t="n"/>
    </row>
    <row r="220">
      <c r="AG220" s="104" t="n"/>
    </row>
    <row r="221">
      <c r="AG221" s="104" t="n"/>
    </row>
    <row r="222">
      <c r="AG222" s="104" t="n"/>
    </row>
    <row r="223">
      <c r="AG223" s="104" t="n"/>
    </row>
    <row r="224">
      <c r="AG224" s="104" t="n"/>
    </row>
    <row r="225">
      <c r="AG225" s="104" t="n"/>
    </row>
    <row r="226">
      <c r="AG226" s="104" t="n"/>
    </row>
    <row r="227">
      <c r="AG227" s="104" t="n"/>
    </row>
    <row r="228">
      <c r="AG228" s="104" t="n"/>
    </row>
    <row r="229">
      <c r="AG229" s="104" t="n"/>
    </row>
    <row r="230">
      <c r="AG230" s="104" t="n"/>
    </row>
    <row r="231">
      <c r="AG231" s="104" t="n"/>
    </row>
    <row r="232">
      <c r="AG232" s="104" t="n"/>
    </row>
    <row r="233">
      <c r="AG233" s="104" t="n"/>
    </row>
    <row r="234">
      <c r="AG234" s="104" t="n"/>
    </row>
    <row r="235">
      <c r="AG235" s="104" t="n"/>
    </row>
    <row r="236">
      <c r="AG236" s="104" t="n"/>
    </row>
    <row r="237">
      <c r="AG237" s="104" t="n"/>
    </row>
    <row r="238">
      <c r="AG238" s="104" t="n"/>
    </row>
    <row r="239">
      <c r="AG239" s="104" t="n"/>
    </row>
    <row r="240">
      <c r="AG240" s="104" t="n"/>
    </row>
    <row r="241">
      <c r="AG241" s="104" t="n"/>
    </row>
    <row r="242">
      <c r="AG242" s="104" t="n"/>
    </row>
    <row r="243">
      <c r="AG243" s="104" t="n"/>
    </row>
    <row r="244">
      <c r="AG244" s="104" t="n"/>
    </row>
    <row r="245">
      <c r="AG245" s="104" t="n"/>
    </row>
    <row r="246">
      <c r="AG246" s="104" t="n"/>
    </row>
    <row r="247">
      <c r="AG247" s="104" t="n"/>
    </row>
    <row r="248">
      <c r="AG248" s="104" t="n"/>
    </row>
    <row r="249">
      <c r="AG249" s="104" t="n"/>
    </row>
    <row r="250">
      <c r="AG250" s="104" t="n"/>
    </row>
    <row r="251">
      <c r="AG251" s="104" t="n"/>
    </row>
    <row r="252">
      <c r="AG252" s="104" t="n"/>
    </row>
    <row r="253">
      <c r="AG253" s="104" t="n"/>
    </row>
    <row r="254">
      <c r="AG254" s="104" t="n"/>
    </row>
    <row r="255">
      <c r="AG255" s="104" t="n"/>
    </row>
    <row r="256">
      <c r="AG256" s="104" t="n"/>
    </row>
    <row r="257">
      <c r="AG257" s="104" t="n"/>
    </row>
    <row r="258">
      <c r="AG258" s="104" t="n"/>
    </row>
    <row r="259">
      <c r="AG259" s="104" t="n"/>
    </row>
    <row r="260">
      <c r="AG260" s="104" t="n"/>
    </row>
    <row r="261">
      <c r="AG261" s="104" t="n"/>
    </row>
    <row r="262">
      <c r="AG262" s="104" t="n"/>
    </row>
    <row r="263">
      <c r="AG263" s="104" t="n"/>
    </row>
    <row r="264">
      <c r="AG264" s="104" t="n"/>
    </row>
    <row r="265">
      <c r="AG265" s="104" t="n"/>
    </row>
    <row r="266">
      <c r="AG266" s="104" t="n"/>
    </row>
    <row r="267">
      <c r="AG267" s="104" t="n"/>
    </row>
    <row r="268">
      <c r="AG268" s="104" t="n"/>
    </row>
    <row r="269">
      <c r="AG269" s="104" t="n"/>
    </row>
    <row r="270">
      <c r="AG270" s="104" t="n"/>
    </row>
    <row r="271">
      <c r="AG271" s="104" t="n"/>
    </row>
    <row r="272">
      <c r="AG272" s="104" t="n"/>
    </row>
    <row r="273">
      <c r="AG273" s="104" t="n"/>
    </row>
    <row r="274">
      <c r="AG274" s="104" t="n"/>
    </row>
    <row r="275">
      <c r="AG275" s="104" t="n"/>
    </row>
    <row r="276">
      <c r="AG276" s="104" t="n"/>
    </row>
    <row r="277">
      <c r="AG277" s="104" t="n"/>
    </row>
    <row r="278">
      <c r="AG278" s="104" t="n"/>
    </row>
    <row r="279">
      <c r="AG279" s="104" t="n"/>
    </row>
    <row r="280">
      <c r="AG280" s="104" t="n"/>
    </row>
    <row r="281">
      <c r="AG281" s="104" t="n"/>
    </row>
    <row r="282">
      <c r="AG282" s="104" t="n"/>
    </row>
    <row r="283">
      <c r="AG283" s="104" t="n"/>
    </row>
    <row r="284">
      <c r="AG284" s="104" t="n"/>
    </row>
    <row r="285">
      <c r="AG285" s="104" t="n"/>
    </row>
    <row r="286">
      <c r="AG286" s="104" t="n"/>
    </row>
    <row r="287">
      <c r="AG287" s="104" t="n"/>
    </row>
    <row r="288">
      <c r="AG288" s="104" t="n"/>
    </row>
    <row r="289">
      <c r="AG289" s="104" t="n"/>
    </row>
    <row r="290">
      <c r="AG290" s="104" t="n"/>
    </row>
    <row r="291">
      <c r="AG291" s="104" t="n"/>
    </row>
    <row r="292">
      <c r="AG292" s="104" t="n"/>
    </row>
    <row r="293">
      <c r="AG293" s="104" t="n"/>
    </row>
    <row r="294">
      <c r="AG294" s="104" t="n"/>
    </row>
    <row r="295">
      <c r="AG295" s="104" t="n"/>
    </row>
    <row r="296">
      <c r="AG296" s="104" t="n"/>
    </row>
    <row r="297">
      <c r="AG297" s="104" t="n"/>
    </row>
    <row r="298">
      <c r="AG298" s="104" t="n"/>
    </row>
    <row r="299">
      <c r="AG299" s="104" t="n"/>
    </row>
    <row r="300">
      <c r="AG300" s="104" t="n"/>
    </row>
    <row r="301">
      <c r="AG301" s="104" t="n"/>
    </row>
    <row r="302">
      <c r="AG302" s="104" t="n"/>
    </row>
    <row r="303">
      <c r="AG303" s="104" t="n"/>
    </row>
    <row r="304">
      <c r="AG304" s="104" t="n"/>
    </row>
    <row r="305">
      <c r="AG305" s="104" t="n"/>
    </row>
    <row r="306">
      <c r="AG306" s="104" t="n"/>
    </row>
    <row r="307">
      <c r="AG307" s="104" t="n"/>
    </row>
    <row r="308">
      <c r="AG308" s="104" t="n"/>
    </row>
    <row r="309">
      <c r="AG309" s="104" t="n"/>
    </row>
    <row r="310">
      <c r="AG310" s="104" t="n"/>
    </row>
    <row r="311">
      <c r="AG311" s="104" t="n"/>
    </row>
    <row r="312">
      <c r="AG312" s="104" t="n"/>
    </row>
    <row r="313">
      <c r="AG313" s="104" t="n"/>
    </row>
    <row r="314">
      <c r="AG314" s="104" t="n"/>
    </row>
    <row r="315">
      <c r="AG315" s="104" t="n"/>
    </row>
    <row r="316">
      <c r="AG316" s="104" t="n"/>
    </row>
    <row r="317">
      <c r="AG317" s="104" t="n"/>
    </row>
    <row r="318">
      <c r="AG318" s="104" t="n"/>
    </row>
    <row r="319">
      <c r="AG319" s="104" t="n"/>
    </row>
    <row r="320">
      <c r="AG320" s="104" t="n"/>
    </row>
    <row r="321">
      <c r="AG321" s="104" t="n"/>
    </row>
    <row r="322">
      <c r="AG322" s="104" t="n"/>
    </row>
    <row r="323">
      <c r="AG323" s="104" t="n"/>
    </row>
    <row r="324">
      <c r="AG324" s="104" t="n"/>
    </row>
    <row r="325">
      <c r="AG325" s="104" t="n"/>
    </row>
    <row r="326">
      <c r="AG326" s="104" t="n"/>
    </row>
    <row r="327">
      <c r="AG327" s="104" t="n"/>
    </row>
    <row r="328">
      <c r="AG328" s="104" t="n"/>
    </row>
    <row r="329">
      <c r="AG329" s="104" t="n"/>
    </row>
    <row r="330">
      <c r="AG330" s="104" t="n"/>
    </row>
    <row r="331">
      <c r="AG331" s="104" t="n"/>
    </row>
    <row r="332">
      <c r="AG332" s="104" t="n"/>
    </row>
    <row r="333">
      <c r="AG333" s="104" t="n"/>
    </row>
    <row r="334">
      <c r="AG334" s="104" t="n"/>
    </row>
    <row r="335">
      <c r="AG335" s="104" t="n"/>
    </row>
    <row r="336">
      <c r="AG336" s="104" t="n"/>
    </row>
    <row r="337">
      <c r="AG337" s="104" t="n"/>
    </row>
    <row r="338">
      <c r="AG338" s="104" t="n"/>
    </row>
    <row r="339">
      <c r="AG339" s="104" t="n"/>
    </row>
    <row r="340">
      <c r="AG340" s="104" t="n"/>
    </row>
    <row r="341">
      <c r="AG341" s="104" t="n"/>
    </row>
    <row r="342">
      <c r="AG342" s="104" t="n"/>
    </row>
    <row r="343">
      <c r="AG343" s="104" t="n"/>
    </row>
    <row r="344">
      <c r="AG344" s="104" t="n"/>
    </row>
    <row r="345">
      <c r="AG345" s="104" t="n"/>
    </row>
    <row r="346">
      <c r="AG346" s="104" t="n"/>
    </row>
    <row r="347">
      <c r="AG347" s="104" t="n"/>
    </row>
    <row r="348">
      <c r="AG348" s="104" t="n"/>
    </row>
    <row r="349">
      <c r="AG349" s="104" t="n"/>
    </row>
    <row r="350">
      <c r="AG350" s="104" t="n"/>
    </row>
  </sheetData>
  <autoFilter ref="$A$1:$Q$49"/>
  <conditionalFormatting sqref="B2:B8 B10:B108 C13:AG13">
    <cfRule type="cellIs" priority="1" operator="greaterThanOrEqual" dxfId="0">
      <formula>8</formula>
    </cfRule>
    <cfRule type="cellIs" priority="2" operator="lessThanOrEqual" dxfId="1">
      <formula>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Z107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.75" customHeight="1"/>
  <cols>
    <col width="23.38" customWidth="1" style="128" min="1" max="1"/>
    <col width="8.880000000000001" customWidth="1" style="128" min="3" max="8"/>
    <col width="11.38" customWidth="1" style="128" min="9" max="9"/>
    <col width="8.880000000000001" customWidth="1" style="128" min="10" max="13"/>
    <col width="7.5" customWidth="1" style="128" min="14" max="14"/>
    <col width="8.880000000000001" customWidth="1" style="128" min="15" max="15"/>
    <col width="7.75" customWidth="1" style="128" min="16" max="16"/>
    <col width="8.880000000000001" customWidth="1" style="128" min="17" max="17"/>
    <col width="8.880000000000001" customWidth="1" style="128" min="19" max="20"/>
    <col width="9.75" customWidth="1" style="128" min="21" max="21"/>
    <col width="8.880000000000001" customWidth="1" style="128" min="22" max="31"/>
    <col width="11.38" customWidth="1" style="128" min="32" max="34"/>
    <col width="17.25" customWidth="1" style="128" min="42" max="43"/>
  </cols>
  <sheetData>
    <row r="1">
      <c r="A1" s="107" t="inlineStr">
        <is>
          <t>l</t>
        </is>
      </c>
      <c r="B1" s="83" t="inlineStr">
        <is>
          <t>sredni hejt</t>
        </is>
      </c>
      <c r="C1" s="107" t="inlineStr">
        <is>
          <t>xero</t>
        </is>
      </c>
      <c r="D1" s="107" t="inlineStr">
        <is>
          <t>kacper</t>
        </is>
      </c>
      <c r="E1" s="107" t="inlineStr">
        <is>
          <t>osar</t>
        </is>
      </c>
      <c r="F1" s="107" t="inlineStr">
        <is>
          <t>marta</t>
        </is>
      </c>
      <c r="G1" s="107" t="inlineStr">
        <is>
          <t>sasiadka6</t>
        </is>
      </c>
      <c r="H1" s="107" t="inlineStr">
        <is>
          <t xml:space="preserve">stawska </t>
        </is>
      </c>
      <c r="I1" s="107" t="inlineStr">
        <is>
          <t>rafal</t>
        </is>
      </c>
      <c r="J1" s="107" t="inlineStr">
        <is>
          <t>2kej</t>
        </is>
      </c>
      <c r="K1" s="107" t="inlineStr">
        <is>
          <t>wiku</t>
        </is>
      </c>
      <c r="L1" s="107" t="inlineStr">
        <is>
          <t>karolina</t>
        </is>
      </c>
      <c r="M1" s="107" t="inlineStr">
        <is>
          <t>ania5</t>
        </is>
      </c>
      <c r="N1" s="107" t="inlineStr">
        <is>
          <t>alicja</t>
        </is>
      </c>
      <c r="O1" s="107" t="inlineStr">
        <is>
          <t>robercik</t>
        </is>
      </c>
      <c r="P1" s="107" t="inlineStr">
        <is>
          <t>marika</t>
        </is>
      </c>
      <c r="Q1" s="107" t="inlineStr">
        <is>
          <t>lokator</t>
        </is>
      </c>
      <c r="R1" s="107" t="inlineStr">
        <is>
          <t>wiktoria rapa</t>
        </is>
      </c>
      <c r="S1" s="107" t="inlineStr">
        <is>
          <t>zubr abuser</t>
        </is>
      </c>
      <c r="T1" s="107" t="inlineStr">
        <is>
          <t>Martyna</t>
        </is>
      </c>
      <c r="U1" s="107" t="inlineStr">
        <is>
          <t>Katarzyna Kulczyk z tych kulczykow</t>
        </is>
      </c>
      <c r="V1" s="107" t="inlineStr">
        <is>
          <t>Michelle</t>
        </is>
      </c>
      <c r="W1" s="107" t="inlineStr">
        <is>
          <t>Anko</t>
        </is>
      </c>
      <c r="X1" s="107" t="inlineStr">
        <is>
          <t>robercik lepszy</t>
        </is>
      </c>
      <c r="Y1" s="107" t="inlineStr">
        <is>
          <t>wiktoria marty</t>
        </is>
      </c>
      <c r="Z1" s="107" t="inlineStr">
        <is>
          <t>milosz</t>
        </is>
      </c>
      <c r="AA1" s="107" t="inlineStr">
        <is>
          <t>ada</t>
        </is>
      </c>
      <c r="AB1" s="107" t="inlineStr">
        <is>
          <t>ania wodorost</t>
        </is>
      </c>
      <c r="AC1" s="107" t="inlineStr">
        <is>
          <t>sabina</t>
        </is>
      </c>
      <c r="AD1" s="107" t="inlineStr">
        <is>
          <t>junior</t>
        </is>
      </c>
      <c r="AE1" s="107" t="inlineStr">
        <is>
          <t>s</t>
        </is>
      </c>
      <c r="AF1" s="107" t="inlineStr">
        <is>
          <t>jdzonaska</t>
        </is>
      </c>
      <c r="AG1" s="107" t="inlineStr">
        <is>
          <t>nashi</t>
        </is>
      </c>
      <c r="AH1" s="107" t="inlineStr">
        <is>
          <t>kuba od nashi</t>
        </is>
      </c>
      <c r="AI1" s="107" t="inlineStr">
        <is>
          <t>damian go</t>
        </is>
      </c>
      <c r="AJ1" s="107" t="inlineStr">
        <is>
          <t>martyna yoga</t>
        </is>
      </c>
      <c r="AK1" s="107" t="inlineStr">
        <is>
          <t>cheetos</t>
        </is>
      </c>
      <c r="AL1" s="107" t="inlineStr">
        <is>
          <t>Kinga</t>
        </is>
      </c>
      <c r="AM1" s="107" t="inlineStr">
        <is>
          <t>konrad</t>
        </is>
      </c>
      <c r="AN1" s="107" t="inlineStr">
        <is>
          <t>iwona</t>
        </is>
      </c>
      <c r="AO1" s="107" t="inlineStr">
        <is>
          <t>Agata</t>
        </is>
      </c>
      <c r="AP1" s="105" t="inlineStr">
        <is>
          <t>Bartek Crocinole</t>
        </is>
      </c>
      <c r="AQ1" s="105" t="inlineStr">
        <is>
          <t>Piotr Kunowski</t>
        </is>
      </c>
      <c r="AR1" s="107" t="inlineStr">
        <is>
          <t>Mikolaj</t>
        </is>
      </c>
      <c r="AS1" s="107" t="inlineStr">
        <is>
          <t>Sara Z</t>
        </is>
      </c>
      <c r="AT1" s="107" t="inlineStr">
        <is>
          <t>Yuri</t>
        </is>
      </c>
      <c r="AU1" s="107" t="inlineStr">
        <is>
          <t>Ewa</t>
        </is>
      </c>
      <c r="AV1" s="107" t="inlineStr">
        <is>
          <t>Mateusz</t>
        </is>
      </c>
      <c r="AW1" s="107" t="inlineStr">
        <is>
          <t>ile osob</t>
        </is>
      </c>
      <c r="AX1" s="85" t="inlineStr">
        <is>
          <t>średnia filmów</t>
        </is>
      </c>
      <c r="AY1" s="86" t="n"/>
      <c r="BU1" s="107" t="inlineStr">
        <is>
          <t>ile osob per spotkanie</t>
        </is>
      </c>
    </row>
    <row r="2">
      <c r="A2" s="90" t="inlineStr">
        <is>
          <t>srednia hejtowania:</t>
        </is>
      </c>
      <c r="B2" s="95">
        <f>IFERROR(ROUND(AVERAGE(C2:AU2),2),"")</f>
        <v/>
      </c>
      <c r="C2" s="89">
        <f>IFERROR(ROUND(AVERAGE(C$3:C150),2),"")</f>
        <v/>
      </c>
      <c r="D2" s="89">
        <f>IFERROR(ROUND(AVERAGE(D$3:D150),2),"")</f>
        <v/>
      </c>
      <c r="E2" s="89">
        <f>IFERROR(ROUND(AVERAGE(E$3:E150),2),"")</f>
        <v/>
      </c>
      <c r="F2" s="89">
        <f>IFERROR(ROUND(AVERAGE(F$3:F150),2),"")</f>
        <v/>
      </c>
      <c r="G2" s="89">
        <f>IFERROR(ROUND(AVERAGE(G$3:G150),2),"")</f>
        <v/>
      </c>
      <c r="H2" s="89">
        <f>IFERROR(ROUND(AVERAGE(H$3:H150),2),"")</f>
        <v/>
      </c>
      <c r="I2" s="89">
        <f>IFERROR(ROUND(AVERAGE(I$3:I150),2),"")</f>
        <v/>
      </c>
      <c r="J2" s="89">
        <f>IFERROR(ROUND(AVERAGE(J$3:J150),2),"")</f>
        <v/>
      </c>
      <c r="K2" s="89">
        <f>IFERROR(ROUND(AVERAGE(K$3:K150),2),"")</f>
        <v/>
      </c>
      <c r="L2" s="89">
        <f>IFERROR(ROUND(AVERAGE(L$3:L150),2),"")</f>
        <v/>
      </c>
      <c r="M2" s="89">
        <f>IFERROR(ROUND(AVERAGE(M$3:M150),2),"")</f>
        <v/>
      </c>
      <c r="N2" s="89">
        <f>IFERROR(ROUND(AVERAGE(N$3:N150),2),"")</f>
        <v/>
      </c>
      <c r="O2" s="89">
        <f>IFERROR(ROUND(AVERAGE(O$3:O150),2),"")</f>
        <v/>
      </c>
      <c r="P2" s="89">
        <f>IFERROR(ROUND(AVERAGE(P$3:P150),2),"")</f>
        <v/>
      </c>
      <c r="Q2" s="89">
        <f>IFERROR(ROUND(AVERAGE(Q$3:Q150),2),"")</f>
        <v/>
      </c>
      <c r="R2" s="89">
        <f>IFERROR(ROUND(AVERAGE(R$3:R150),2),"")</f>
        <v/>
      </c>
      <c r="S2" s="89">
        <f>IFERROR(ROUND(AVERAGE(S$3:S150),2),"")</f>
        <v/>
      </c>
      <c r="T2" s="89">
        <f>IFERROR(ROUND(AVERAGE(T$3:T150),2),"")</f>
        <v/>
      </c>
      <c r="U2" s="89">
        <f>IFERROR(ROUND(AVERAGE(U$3:U150),2),"")</f>
        <v/>
      </c>
      <c r="V2" s="89">
        <f>IFERROR(ROUND(AVERAGE(V$3:V150),2),"")</f>
        <v/>
      </c>
      <c r="W2" s="89">
        <f>IFERROR(ROUND(AVERAGE(W$3:W150),2),"")</f>
        <v/>
      </c>
      <c r="X2" s="89">
        <f>IFERROR(ROUND(AVERAGE(X$3:X150),2),"")</f>
        <v/>
      </c>
      <c r="Y2" s="89">
        <f>IFERROR(ROUND(AVERAGE(Y$3:Y150),2),"")</f>
        <v/>
      </c>
      <c r="Z2" s="89">
        <f>IFERROR(ROUND(AVERAGE(Z$3:Z150),2),"")</f>
        <v/>
      </c>
      <c r="AA2" s="89">
        <f>IFERROR(ROUND(AVERAGE(AA$3:AA150),2),"")</f>
        <v/>
      </c>
      <c r="AB2" s="89">
        <f>IFERROR(ROUND(AVERAGE(AB$3:AB150),2),"")</f>
        <v/>
      </c>
      <c r="AC2" s="89">
        <f>IFERROR(ROUND(AVERAGE(AC$3:AC150),2),"")</f>
        <v/>
      </c>
      <c r="AD2" s="89">
        <f>IFERROR(ROUND(AVERAGE(AD$3:AD150),2),"")</f>
        <v/>
      </c>
      <c r="AE2" s="89">
        <f>IFERROR(ROUND(AVERAGE(AE$3:AE150),2),"")</f>
        <v/>
      </c>
      <c r="AF2" s="89">
        <f>IFERROR(ROUND(AVERAGE(AF$3:AF150),2),"")</f>
        <v/>
      </c>
      <c r="AG2" s="89">
        <f>IFERROR(ROUND(AVERAGE(AG$3:AG150),2),"")</f>
        <v/>
      </c>
      <c r="AH2" s="89">
        <f>IFERROR(ROUND(AVERAGE(AH$3:AH150),2),"")</f>
        <v/>
      </c>
      <c r="AI2" s="89">
        <f>IFERROR(ROUND(AVERAGE(AI$3:AI150),2),"")</f>
        <v/>
      </c>
      <c r="AJ2" s="89">
        <f>IFERROR(ROUND(AVERAGE(AJ$3:AJ150),2),"")</f>
        <v/>
      </c>
      <c r="AK2" s="89">
        <f>IFERROR(ROUND(AVERAGE(AK$3:AK150),2),"")</f>
        <v/>
      </c>
      <c r="AL2" s="89">
        <f>IFERROR(ROUND(AVERAGE(AL$3:AL150),2),"")</f>
        <v/>
      </c>
      <c r="AM2" s="89">
        <f>IFERROR(ROUND(AVERAGE(AM$3:AM150),2),"")</f>
        <v/>
      </c>
      <c r="AN2" s="89">
        <f>IFERROR(ROUND(AVERAGE(AN$3:AN150),2),"")</f>
        <v/>
      </c>
      <c r="AO2" s="89">
        <f>IFERROR(ROUND(AVERAGE(AO$3:AO150),2),"")</f>
        <v/>
      </c>
      <c r="AP2" s="89">
        <f>IFERROR(ROUND(AVERAGE(AP$3:AP150),2),"")</f>
        <v/>
      </c>
      <c r="AQ2" s="89">
        <f>IFERROR(ROUND(AVERAGE(AQ$3:AQ150),2),"")</f>
        <v/>
      </c>
      <c r="AR2" s="89">
        <f>IFERROR(ROUND(AVERAGE(AR$3:AR150),2),"")</f>
        <v/>
      </c>
      <c r="AS2" s="89">
        <f>IFERROR(ROUND(AVERAGE(AS$3:AS150),2),"")</f>
        <v/>
      </c>
      <c r="AT2" s="89">
        <f>IFERROR(ROUND(AVERAGE(AT$3:AT150),2),"")</f>
        <v/>
      </c>
      <c r="AU2" s="89">
        <f>IFERROR(ROUND(AVERAGE(AU$3:AU150),2),"")</f>
        <v/>
      </c>
      <c r="AV2" s="89" t="n"/>
      <c r="AW2" s="90">
        <f>AVERAGE(AW3:AW150)</f>
        <v/>
      </c>
      <c r="AX2" s="91">
        <f>IFERROR(ROUND(AVERAGE(B1:B150),2),"")</f>
        <v/>
      </c>
      <c r="AY2" s="90" t="n"/>
      <c r="AZ2" s="90" t="n"/>
      <c r="BA2" s="90" t="n"/>
      <c r="BB2" s="90" t="n"/>
      <c r="BC2" s="90" t="n"/>
      <c r="BD2" s="90" t="n"/>
      <c r="BE2" s="90" t="n"/>
      <c r="BF2" s="90" t="n"/>
      <c r="BG2" s="90" t="n"/>
      <c r="BH2" s="90" t="n"/>
      <c r="BI2" s="90" t="n"/>
      <c r="BJ2" s="90" t="n"/>
      <c r="BK2" s="90" t="n"/>
      <c r="BL2" s="90" t="n"/>
      <c r="BM2" s="90" t="n"/>
      <c r="BN2" s="90" t="n"/>
      <c r="BO2" s="90" t="n"/>
      <c r="BP2" s="90" t="n"/>
      <c r="BQ2" s="90" t="n"/>
      <c r="BR2" s="90" t="n"/>
      <c r="BS2" s="90" t="n"/>
      <c r="BT2" s="90" t="n"/>
      <c r="BU2" s="90" t="n"/>
      <c r="BV2" s="90" t="n"/>
      <c r="BW2" s="90" t="n"/>
      <c r="BX2" s="90" t="n"/>
      <c r="BY2" s="90" t="n"/>
      <c r="BZ2" s="90" t="n"/>
    </row>
    <row r="3">
      <c r="A3" s="93" t="inlineStr">
        <is>
          <t>willy wonderland</t>
        </is>
      </c>
      <c r="B3" s="95">
        <f>IFERROR(ROUND(AVERAGE(C3:AU3),2),"")</f>
        <v/>
      </c>
      <c r="C3" s="93" t="n">
        <v>8</v>
      </c>
      <c r="D3" s="93" t="n">
        <v>7</v>
      </c>
      <c r="E3" s="93" t="n">
        <v>8</v>
      </c>
      <c r="F3" s="93" t="n">
        <v>8.5</v>
      </c>
      <c r="G3" s="93" t="n"/>
      <c r="H3" s="93" t="n">
        <v>10</v>
      </c>
      <c r="I3" s="93" t="n"/>
      <c r="J3" s="93" t="n"/>
      <c r="K3" s="93" t="n"/>
      <c r="L3" s="93" t="n">
        <v>8</v>
      </c>
      <c r="M3" s="93" t="n">
        <v>8</v>
      </c>
      <c r="N3" s="93" t="n"/>
      <c r="O3" s="93" t="n"/>
      <c r="P3" s="93" t="n"/>
      <c r="Q3" s="93" t="n"/>
      <c r="R3" s="93" t="n"/>
      <c r="S3" s="93" t="n"/>
      <c r="T3" s="93" t="n"/>
      <c r="U3" s="93" t="n"/>
      <c r="V3" s="93" t="n"/>
      <c r="W3" s="93" t="n"/>
      <c r="X3" s="93" t="n"/>
      <c r="Y3" s="93" t="n"/>
      <c r="Z3" s="93" t="n"/>
      <c r="AA3" s="93" t="n"/>
      <c r="AB3" s="93" t="n"/>
      <c r="AC3" s="93" t="n"/>
      <c r="AD3" s="93" t="n"/>
      <c r="AE3" s="93" t="n"/>
      <c r="AF3" s="93" t="n"/>
      <c r="AG3" s="93" t="n"/>
      <c r="AH3" s="93" t="n"/>
      <c r="AI3" s="93" t="n"/>
      <c r="AJ3" s="93" t="n"/>
      <c r="AK3" s="93" t="n"/>
      <c r="AL3" s="93" t="n"/>
      <c r="AM3" s="93" t="n"/>
      <c r="AN3" s="93" t="n"/>
      <c r="AP3" s="94" t="n"/>
      <c r="AQ3" s="94" t="n"/>
      <c r="AR3" s="93" t="n"/>
      <c r="AS3" s="93" t="n"/>
      <c r="AT3" s="93" t="n"/>
      <c r="AU3" s="93" t="n"/>
      <c r="AV3" s="93" t="n"/>
      <c r="AW3" s="93">
        <f>IF(COUNT(C3:AU3)=0,"",COUNT(C3:AU3))</f>
        <v/>
      </c>
      <c r="AX3" s="93" t="n"/>
      <c r="AY3" s="93" t="n"/>
      <c r="AZ3" s="93" t="n"/>
      <c r="BA3" s="93" t="n"/>
      <c r="BB3" s="93" t="n"/>
      <c r="BC3" s="93" t="n"/>
      <c r="BD3" s="93" t="n"/>
      <c r="BE3" s="93" t="n"/>
      <c r="BF3" s="93" t="n"/>
      <c r="BG3" s="93" t="n"/>
      <c r="BH3" s="93" t="n"/>
      <c r="BI3" s="93" t="n"/>
      <c r="BJ3" s="93" t="n"/>
      <c r="BK3" s="93" t="n"/>
      <c r="BL3" s="93" t="n"/>
      <c r="BM3" s="93" t="n"/>
      <c r="BN3" s="93" t="n"/>
      <c r="BO3" s="93" t="n"/>
      <c r="BP3" s="93" t="n"/>
      <c r="BQ3" s="93" t="n"/>
      <c r="BR3" s="93" t="n"/>
      <c r="BS3" s="93" t="n"/>
      <c r="BT3" s="93" t="n"/>
      <c r="BU3" s="93" t="n"/>
      <c r="BV3" s="93" t="n"/>
      <c r="BW3" s="93" t="n"/>
      <c r="BX3" s="93" t="n"/>
      <c r="BY3" s="93" t="n"/>
      <c r="BZ3" s="93" t="n"/>
    </row>
    <row r="4">
      <c r="A4" s="93" t="inlineStr">
        <is>
          <t>tigers are not afraid</t>
        </is>
      </c>
      <c r="B4" s="95">
        <f>IFERROR(ROUND(AVERAGE(C4:AU4),2),"")</f>
        <v/>
      </c>
      <c r="C4" s="93" t="n">
        <v>1</v>
      </c>
      <c r="D4" s="93" t="n">
        <v>1</v>
      </c>
      <c r="E4" s="93" t="n">
        <v>1</v>
      </c>
      <c r="F4" s="93" t="n">
        <v>2</v>
      </c>
      <c r="G4" s="93" t="n"/>
      <c r="H4" s="93" t="n">
        <v>2</v>
      </c>
      <c r="I4" s="93" t="n"/>
      <c r="J4" s="93" t="n"/>
      <c r="K4" s="93" t="n"/>
      <c r="L4" s="93" t="n">
        <v>1</v>
      </c>
      <c r="M4" s="93" t="n">
        <v>1</v>
      </c>
      <c r="N4" s="93" t="n"/>
      <c r="O4" s="93" t="n"/>
      <c r="P4" s="93" t="n"/>
      <c r="Q4" s="93" t="n"/>
      <c r="R4" s="93" t="n"/>
      <c r="S4" s="93" t="n"/>
      <c r="T4" s="93" t="n"/>
      <c r="U4" s="93" t="n"/>
      <c r="V4" s="93" t="n"/>
      <c r="W4" s="93" t="n"/>
      <c r="X4" s="93" t="n"/>
      <c r="Y4" s="93" t="n"/>
      <c r="Z4" s="93" t="n"/>
      <c r="AA4" s="93" t="n"/>
      <c r="AB4" s="93" t="n"/>
      <c r="AC4" s="93" t="n"/>
      <c r="AD4" s="93" t="n"/>
      <c r="AE4" s="93" t="n"/>
      <c r="AF4" s="93" t="n"/>
      <c r="AG4" s="93" t="n"/>
      <c r="AH4" s="93" t="n"/>
      <c r="AI4" s="93" t="n"/>
      <c r="AJ4" s="93" t="n"/>
      <c r="AK4" s="93" t="n"/>
      <c r="AL4" s="93" t="n"/>
      <c r="AM4" s="93" t="n"/>
      <c r="AN4" s="93" t="n"/>
      <c r="AP4" s="94" t="n"/>
      <c r="AQ4" s="94" t="n"/>
      <c r="AR4" s="93" t="n"/>
      <c r="AS4" s="93" t="n"/>
      <c r="AT4" s="93" t="n"/>
      <c r="AU4" s="93" t="n"/>
      <c r="AV4" s="93" t="n"/>
      <c r="AW4" s="93">
        <f>IF(COUNT(C4:AU4)=0,"",COUNT(C4:AU4))</f>
        <v/>
      </c>
      <c r="AX4" s="95" t="n"/>
      <c r="AY4" s="93" t="n"/>
      <c r="AZ4" s="93" t="n"/>
      <c r="BA4" s="93" t="n"/>
      <c r="BB4" s="93" t="n"/>
      <c r="BC4" s="93" t="n"/>
      <c r="BD4" s="93" t="n"/>
      <c r="BE4" s="93" t="n"/>
      <c r="BF4" s="93" t="n"/>
      <c r="BG4" s="93" t="n"/>
      <c r="BH4" s="93" t="n"/>
      <c r="BI4" s="93" t="n"/>
      <c r="BJ4" s="93" t="n"/>
      <c r="BK4" s="93" t="n"/>
      <c r="BL4" s="93" t="n"/>
      <c r="BM4" s="93" t="n"/>
      <c r="BN4" s="93" t="n"/>
      <c r="BO4" s="93" t="n"/>
      <c r="BP4" s="93" t="n"/>
      <c r="BQ4" s="93" t="n"/>
      <c r="BR4" s="93" t="n"/>
      <c r="BS4" s="93" t="n"/>
      <c r="BT4" s="93" t="n"/>
      <c r="BU4" s="93" t="n"/>
      <c r="BV4" s="93" t="n"/>
      <c r="BW4" s="93" t="n"/>
      <c r="BX4" s="93" t="n"/>
      <c r="BY4" s="93" t="n"/>
      <c r="BZ4" s="93" t="n"/>
    </row>
    <row r="5">
      <c r="A5" s="93" t="inlineStr">
        <is>
          <t>satanic panic</t>
        </is>
      </c>
      <c r="B5" s="95">
        <f>IFERROR(ROUND(AVERAGE(C5:AU5),2),"")</f>
        <v/>
      </c>
      <c r="C5" s="93" t="n">
        <v>7</v>
      </c>
      <c r="D5" s="93" t="n">
        <v>5</v>
      </c>
      <c r="E5" s="93" t="n">
        <v>3</v>
      </c>
      <c r="F5" s="93" t="n">
        <v>3</v>
      </c>
      <c r="G5" s="93" t="n"/>
      <c r="H5" s="93" t="n">
        <v>5</v>
      </c>
      <c r="I5" s="93" t="n"/>
      <c r="J5" s="93" t="n"/>
      <c r="K5" s="93" t="n"/>
      <c r="L5" s="93" t="n">
        <v>2</v>
      </c>
      <c r="M5" s="93" t="n">
        <v>5</v>
      </c>
      <c r="N5" s="93" t="n"/>
      <c r="O5" s="93" t="n"/>
      <c r="P5" s="93" t="n"/>
      <c r="Q5" s="93" t="n"/>
      <c r="R5" s="93" t="n"/>
      <c r="S5" s="93" t="n"/>
      <c r="T5" s="93" t="n"/>
      <c r="U5" s="93" t="n"/>
      <c r="V5" s="93" t="n"/>
      <c r="W5" s="93" t="n"/>
      <c r="X5" s="93" t="n"/>
      <c r="Y5" s="93" t="n"/>
      <c r="Z5" s="93" t="n"/>
      <c r="AA5" s="93" t="n"/>
      <c r="AB5" s="93" t="n"/>
      <c r="AC5" s="93" t="n"/>
      <c r="AD5" s="93" t="n"/>
      <c r="AE5" s="93" t="n"/>
      <c r="AF5" s="93" t="n"/>
      <c r="AG5" s="93" t="n"/>
      <c r="AH5" s="93" t="n"/>
      <c r="AI5" s="93" t="n"/>
      <c r="AJ5" s="93" t="n"/>
      <c r="AK5" s="93" t="n"/>
      <c r="AL5" s="93" t="n"/>
      <c r="AM5" s="93" t="n"/>
      <c r="AN5" s="93" t="n"/>
      <c r="AP5" s="94" t="n"/>
      <c r="AQ5" s="94" t="n"/>
      <c r="AR5" s="93" t="n"/>
      <c r="AS5" s="93" t="n"/>
      <c r="AT5" s="93" t="n"/>
      <c r="AU5" s="93" t="n"/>
      <c r="AV5" s="93" t="n"/>
      <c r="AW5" s="93">
        <f>IF(COUNT(C5:AU5)=0,"",COUNT(C5:AU5))</f>
        <v/>
      </c>
      <c r="AX5" s="95" t="n"/>
      <c r="AY5" s="93" t="n"/>
      <c r="AZ5" s="93" t="n"/>
      <c r="BA5" s="93" t="n"/>
      <c r="BB5" s="93" t="n"/>
      <c r="BC5" s="93" t="n"/>
      <c r="BD5" s="93" t="n"/>
      <c r="BE5" s="93" t="n"/>
      <c r="BF5" s="93" t="n"/>
      <c r="BG5" s="93" t="n"/>
      <c r="BH5" s="93" t="n"/>
      <c r="BI5" s="93" t="n"/>
      <c r="BJ5" s="93" t="n"/>
      <c r="BK5" s="93" t="n"/>
      <c r="BL5" s="93" t="n"/>
      <c r="BM5" s="93" t="n"/>
      <c r="BN5" s="93" t="n"/>
      <c r="BO5" s="93" t="n"/>
      <c r="BP5" s="93" t="n"/>
      <c r="BQ5" s="93" t="n"/>
      <c r="BR5" s="93" t="n"/>
      <c r="BS5" s="93" t="n"/>
      <c r="BT5" s="93" t="n"/>
      <c r="BU5" s="93">
        <f>MAX(AW3:AW5)</f>
        <v/>
      </c>
      <c r="BV5" s="93" t="n"/>
      <c r="BW5" s="93" t="n"/>
      <c r="BX5" s="93" t="n"/>
      <c r="BY5" s="93" t="n"/>
      <c r="BZ5" s="93" t="n"/>
    </row>
    <row r="6">
      <c r="B6" s="95">
        <f>IFERROR(ROUND(AVERAGE(C6:AU6),2),"")</f>
        <v/>
      </c>
      <c r="AP6" s="96" t="n"/>
      <c r="AQ6" s="96" t="n"/>
      <c r="AW6" s="93">
        <f>IF(COUNT(C6:AU6)=0,"",COUNT(C6:AU6))</f>
        <v/>
      </c>
      <c r="AX6" s="104" t="n"/>
    </row>
    <row r="7">
      <c r="A7" s="93" t="inlineStr">
        <is>
          <t>little monsters</t>
        </is>
      </c>
      <c r="B7" s="95">
        <f>IFERROR(ROUND(AVERAGE(C7:AU7),2),"")</f>
        <v/>
      </c>
      <c r="C7" s="93" t="n">
        <v>3</v>
      </c>
      <c r="D7" s="93" t="n">
        <v>3</v>
      </c>
      <c r="E7" s="93" t="n">
        <v>5</v>
      </c>
      <c r="F7" s="93" t="n">
        <v>4</v>
      </c>
      <c r="G7" s="93" t="n">
        <v>5</v>
      </c>
      <c r="H7" s="93" t="n"/>
      <c r="I7" s="93" t="n"/>
      <c r="J7" s="93" t="n"/>
      <c r="K7" s="93" t="n"/>
      <c r="L7" s="93" t="n"/>
      <c r="M7" s="93" t="n">
        <v>7</v>
      </c>
      <c r="N7" s="93" t="n"/>
      <c r="O7" s="93" t="n"/>
      <c r="P7" s="93" t="n"/>
      <c r="Q7" s="93" t="n"/>
      <c r="R7" s="93" t="n"/>
      <c r="S7" s="93" t="n"/>
      <c r="T7" s="93" t="n"/>
      <c r="U7" s="93" t="n"/>
      <c r="V7" s="93" t="n"/>
      <c r="W7" s="93" t="n"/>
      <c r="X7" s="93" t="n"/>
      <c r="Y7" s="93" t="n"/>
      <c r="Z7" s="93" t="n"/>
      <c r="AA7" s="93" t="n"/>
      <c r="AB7" s="93" t="n"/>
      <c r="AC7" s="93" t="n"/>
      <c r="AD7" s="93" t="n"/>
      <c r="AE7" s="93" t="n"/>
      <c r="AF7" s="93" t="n"/>
      <c r="AG7" s="93" t="n"/>
      <c r="AH7" s="93" t="n"/>
      <c r="AI7" s="93" t="n"/>
      <c r="AJ7" s="93" t="n"/>
      <c r="AK7" s="93" t="n"/>
      <c r="AL7" s="93" t="n"/>
      <c r="AM7" s="93" t="n"/>
      <c r="AN7" s="93" t="n"/>
      <c r="AP7" s="94" t="n"/>
      <c r="AQ7" s="94" t="n"/>
      <c r="AR7" s="93" t="n"/>
      <c r="AS7" s="93" t="n"/>
      <c r="AT7" s="93" t="n"/>
      <c r="AU7" s="93" t="n"/>
      <c r="AV7" s="93" t="n"/>
      <c r="AW7" s="93">
        <f>IF(COUNT(C7:AU7)=0,"",COUNT(C7:AU7))</f>
        <v/>
      </c>
      <c r="AX7" s="95" t="n"/>
      <c r="AY7" s="93" t="n"/>
      <c r="AZ7" s="93" t="n"/>
      <c r="BA7" s="93" t="n"/>
      <c r="BB7" s="93" t="n"/>
      <c r="BC7" s="93" t="n"/>
      <c r="BD7" s="93" t="n"/>
      <c r="BE7" s="93" t="n"/>
      <c r="BF7" s="93" t="n"/>
      <c r="BG7" s="93" t="n"/>
      <c r="BH7" s="93" t="n"/>
      <c r="BI7" s="93" t="n"/>
      <c r="BJ7" s="93" t="n"/>
      <c r="BK7" s="93" t="n"/>
      <c r="BL7" s="93" t="n"/>
      <c r="BM7" s="93" t="n"/>
      <c r="BN7" s="93" t="n"/>
      <c r="BO7" s="93" t="n"/>
      <c r="BP7" s="93" t="n"/>
      <c r="BQ7" s="93" t="n"/>
      <c r="BR7" s="93" t="n"/>
      <c r="BS7" s="93" t="n"/>
      <c r="BT7" s="93" t="n"/>
      <c r="BU7" s="93" t="n"/>
      <c r="BV7" s="93" t="n"/>
      <c r="BW7" s="93" t="n"/>
      <c r="BX7" s="93" t="n"/>
      <c r="BY7" s="93" t="n"/>
      <c r="BZ7" s="93" t="n"/>
    </row>
    <row r="8">
      <c r="A8" s="93" t="inlineStr">
        <is>
          <t>underwater</t>
        </is>
      </c>
      <c r="B8" s="95">
        <f>IFERROR(ROUND(AVERAGE(C8:AU8),2),"")</f>
        <v/>
      </c>
      <c r="C8" s="93" t="n">
        <v>9</v>
      </c>
      <c r="D8" s="93" t="n">
        <v>9</v>
      </c>
      <c r="E8" s="93" t="n">
        <v>8.5</v>
      </c>
      <c r="F8" s="93" t="n">
        <v>8</v>
      </c>
      <c r="G8" s="93" t="n">
        <v>7</v>
      </c>
      <c r="H8" s="93" t="n"/>
      <c r="I8" s="93" t="n"/>
      <c r="J8" s="93" t="n"/>
      <c r="K8" s="93" t="n"/>
      <c r="L8" s="93" t="n"/>
      <c r="M8" s="93" t="n">
        <v>9.5</v>
      </c>
      <c r="N8" s="93" t="n"/>
      <c r="O8" s="93" t="n"/>
      <c r="P8" s="93" t="n"/>
      <c r="Q8" s="93" t="n"/>
      <c r="R8" s="93" t="n"/>
      <c r="S8" s="93" t="n"/>
      <c r="T8" s="93" t="n"/>
      <c r="U8" s="93" t="n"/>
      <c r="V8" s="93" t="n"/>
      <c r="W8" s="93" t="n"/>
      <c r="X8" s="93" t="n"/>
      <c r="Y8" s="93" t="n"/>
      <c r="Z8" s="93" t="n"/>
      <c r="AA8" s="93" t="n"/>
      <c r="AB8" s="93" t="n"/>
      <c r="AC8" s="93" t="n"/>
      <c r="AD8" s="93" t="n"/>
      <c r="AE8" s="93" t="n"/>
      <c r="AF8" s="93" t="n"/>
      <c r="AG8" s="93" t="n"/>
      <c r="AH8" s="93" t="n"/>
      <c r="AI8" s="93" t="n"/>
      <c r="AJ8" s="93" t="n"/>
      <c r="AK8" s="93" t="n"/>
      <c r="AL8" s="93" t="n"/>
      <c r="AM8" s="93" t="n"/>
      <c r="AN8" s="93" t="n"/>
      <c r="AP8" s="94" t="n"/>
      <c r="AQ8" s="94" t="n"/>
      <c r="AR8" s="93" t="n"/>
      <c r="AS8" s="93" t="n"/>
      <c r="AT8" s="93" t="n"/>
      <c r="AU8" s="93" t="n"/>
      <c r="AV8" s="93" t="n"/>
      <c r="AW8" s="93">
        <f>IF(COUNT(C8:AU8)=0,"",COUNT(C8:AU8))</f>
        <v/>
      </c>
      <c r="AX8" s="95" t="n"/>
      <c r="AY8" s="93" t="n"/>
      <c r="AZ8" s="93" t="n"/>
      <c r="BA8" s="93" t="n"/>
      <c r="BB8" s="93" t="n"/>
      <c r="BC8" s="93" t="n"/>
      <c r="BD8" s="93" t="n"/>
      <c r="BE8" s="93" t="n"/>
      <c r="BF8" s="93" t="n"/>
      <c r="BG8" s="93" t="n"/>
      <c r="BH8" s="93" t="n"/>
      <c r="BI8" s="93" t="n"/>
      <c r="BJ8" s="93" t="n"/>
      <c r="BK8" s="93" t="n"/>
      <c r="BL8" s="93" t="n"/>
      <c r="BM8" s="93" t="n"/>
      <c r="BN8" s="93" t="n"/>
      <c r="BO8" s="93" t="n"/>
      <c r="BP8" s="93" t="n"/>
      <c r="BQ8" s="93" t="n"/>
      <c r="BR8" s="93" t="n"/>
      <c r="BS8" s="93" t="n"/>
      <c r="BT8" s="93" t="n"/>
      <c r="BU8" s="93" t="n"/>
      <c r="BV8" s="93" t="n"/>
      <c r="BW8" s="93" t="n"/>
      <c r="BX8" s="93" t="n"/>
      <c r="BY8" s="93" t="n"/>
      <c r="BZ8" s="93" t="n"/>
    </row>
    <row r="9">
      <c r="A9" s="93" t="inlineStr">
        <is>
          <t>slaxx</t>
        </is>
      </c>
      <c r="B9" s="95">
        <f>IFERROR(ROUND(AVERAGE(C9:AU9),2),"")</f>
        <v/>
      </c>
      <c r="C9" s="93" t="n">
        <v>4</v>
      </c>
      <c r="D9" s="93" t="n">
        <v>7</v>
      </c>
      <c r="E9" s="93" t="n">
        <v>10</v>
      </c>
      <c r="F9" s="93" t="n">
        <v>9</v>
      </c>
      <c r="G9" s="93" t="n">
        <v>6</v>
      </c>
      <c r="H9" s="93" t="n"/>
      <c r="I9" s="93" t="n"/>
      <c r="J9" s="93" t="n"/>
      <c r="K9" s="93" t="n"/>
      <c r="L9" s="93" t="n"/>
      <c r="M9" s="93" t="n">
        <v>8</v>
      </c>
      <c r="N9" s="93" t="n"/>
      <c r="O9" s="93" t="n"/>
      <c r="P9" s="93" t="n"/>
      <c r="Q9" s="93" t="n"/>
      <c r="R9" s="93" t="n"/>
      <c r="S9" s="93" t="n"/>
      <c r="T9" s="93" t="n"/>
      <c r="U9" s="93" t="n"/>
      <c r="V9" s="93" t="n"/>
      <c r="W9" s="93" t="n"/>
      <c r="X9" s="93" t="n"/>
      <c r="Y9" s="93" t="n"/>
      <c r="Z9" s="93" t="n"/>
      <c r="AA9" s="93" t="n"/>
      <c r="AB9" s="93" t="n"/>
      <c r="AC9" s="93" t="n"/>
      <c r="AD9" s="93" t="n"/>
      <c r="AE9" s="93" t="n"/>
      <c r="AF9" s="93" t="n"/>
      <c r="AG9" s="93" t="n"/>
      <c r="AH9" s="93" t="n"/>
      <c r="AI9" s="93" t="n"/>
      <c r="AJ9" s="93" t="n"/>
      <c r="AK9" s="93" t="n"/>
      <c r="AL9" s="93" t="n"/>
      <c r="AM9" s="93" t="n"/>
      <c r="AN9" s="93" t="n"/>
      <c r="AP9" s="94" t="n"/>
      <c r="AQ9" s="94" t="n"/>
      <c r="AR9" s="93" t="n"/>
      <c r="AS9" s="93" t="n"/>
      <c r="AT9" s="93" t="n"/>
      <c r="AU9" s="93" t="n"/>
      <c r="AV9" s="93" t="n"/>
      <c r="AW9" s="93">
        <f>IF(COUNT(C9:AU9)=0,"",COUNT(C9:AU9))</f>
        <v/>
      </c>
      <c r="AX9" s="95" t="n"/>
      <c r="AY9" s="93" t="n"/>
      <c r="AZ9" s="93" t="n"/>
      <c r="BA9" s="93" t="n"/>
      <c r="BB9" s="93" t="n"/>
      <c r="BC9" s="93" t="n"/>
      <c r="BD9" s="93" t="n"/>
      <c r="BE9" s="93" t="n"/>
      <c r="BF9" s="93" t="n"/>
      <c r="BG9" s="93" t="n"/>
      <c r="BH9" s="93" t="n"/>
      <c r="BI9" s="93" t="n"/>
      <c r="BJ9" s="93" t="n"/>
      <c r="BK9" s="93" t="n"/>
      <c r="BL9" s="93" t="n"/>
      <c r="BM9" s="93" t="n"/>
      <c r="BN9" s="93" t="n"/>
      <c r="BO9" s="93" t="n"/>
      <c r="BP9" s="93" t="n"/>
      <c r="BQ9" s="93" t="n"/>
      <c r="BR9" s="93" t="n"/>
      <c r="BS9" s="93" t="n"/>
      <c r="BT9" s="93" t="n"/>
      <c r="BU9" s="93">
        <f>MAX(AW7:AW9)</f>
        <v/>
      </c>
      <c r="BV9" s="93" t="n"/>
      <c r="BW9" s="93" t="n"/>
      <c r="BX9" s="93" t="n"/>
      <c r="BY9" s="93" t="n"/>
      <c r="BZ9" s="93" t="n"/>
    </row>
    <row r="10">
      <c r="B10" s="95">
        <f>IFERROR(ROUND(AVERAGE(C10:AU10),2),"")</f>
        <v/>
      </c>
      <c r="AP10" s="96" t="n"/>
      <c r="AQ10" s="96" t="n"/>
      <c r="AW10" s="93">
        <f>IF(COUNT(C10:AU10)=0,"",COUNT(C10:AU10))</f>
        <v/>
      </c>
      <c r="AX10" s="104" t="n"/>
    </row>
    <row r="11">
      <c r="A11" s="93" t="inlineStr">
        <is>
          <t>mon mon monsters</t>
        </is>
      </c>
      <c r="B11" s="95">
        <f>IFERROR(ROUND(AVERAGE(C11:AU11),2),"")</f>
        <v/>
      </c>
      <c r="C11" s="93" t="n">
        <v>7</v>
      </c>
      <c r="D11" s="93" t="n"/>
      <c r="E11" s="93" t="n">
        <v>6.5</v>
      </c>
      <c r="F11" s="93" t="n"/>
      <c r="G11" s="93" t="n">
        <v>4</v>
      </c>
      <c r="H11" s="93" t="n">
        <v>8</v>
      </c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  <c r="R11" s="93" t="n"/>
      <c r="S11" s="93" t="n"/>
      <c r="T11" s="93" t="n"/>
      <c r="U11" s="93" t="n"/>
      <c r="V11" s="93" t="n"/>
      <c r="W11" s="93" t="n"/>
      <c r="X11" s="93" t="n"/>
      <c r="Y11" s="93" t="n"/>
      <c r="Z11" s="93" t="n"/>
      <c r="AA11" s="93" t="n"/>
      <c r="AB11" s="93" t="n"/>
      <c r="AC11" s="93" t="n"/>
      <c r="AD11" s="93" t="n"/>
      <c r="AE11" s="93" t="n"/>
      <c r="AF11" s="93" t="n"/>
      <c r="AG11" s="93" t="n"/>
      <c r="AH11" s="93" t="n"/>
      <c r="AI11" s="93" t="n"/>
      <c r="AJ11" s="93" t="n"/>
      <c r="AK11" s="93" t="n"/>
      <c r="AL11" s="93" t="n"/>
      <c r="AM11" s="93" t="n"/>
      <c r="AN11" s="93" t="n"/>
      <c r="AP11" s="94" t="n"/>
      <c r="AQ11" s="94" t="n"/>
      <c r="AR11" s="93" t="n"/>
      <c r="AS11" s="93" t="n"/>
      <c r="AT11" s="93" t="n"/>
      <c r="AU11" s="93" t="n"/>
      <c r="AV11" s="93" t="n"/>
      <c r="AW11" s="93">
        <f>IF(COUNT(C11:AU11)=0,"",COUNT(C11:AU11))</f>
        <v/>
      </c>
      <c r="AX11" s="95" t="n"/>
      <c r="AY11" s="93" t="n"/>
      <c r="AZ11" s="93" t="n"/>
      <c r="BA11" s="93" t="n"/>
      <c r="BB11" s="93" t="n"/>
      <c r="BC11" s="93" t="n"/>
      <c r="BD11" s="93" t="n"/>
      <c r="BE11" s="93" t="n"/>
      <c r="BF11" s="93" t="n"/>
      <c r="BG11" s="93" t="n"/>
      <c r="BH11" s="93" t="n"/>
      <c r="BI11" s="93" t="n"/>
      <c r="BJ11" s="93" t="n"/>
      <c r="BK11" s="93" t="n"/>
      <c r="BL11" s="93" t="n"/>
      <c r="BM11" s="93" t="n"/>
      <c r="BN11" s="93" t="n"/>
      <c r="BO11" s="93" t="n"/>
      <c r="BP11" s="93" t="n"/>
      <c r="BQ11" s="93" t="n"/>
      <c r="BR11" s="93" t="n"/>
      <c r="BS11" s="93" t="n"/>
      <c r="BT11" s="93" t="n"/>
      <c r="BU11" s="93" t="n"/>
      <c r="BV11" s="93" t="n"/>
      <c r="BW11" s="93" t="n"/>
      <c r="BX11" s="93" t="n"/>
      <c r="BY11" s="93" t="n"/>
      <c r="BZ11" s="93" t="n"/>
    </row>
    <row r="12">
      <c r="A12" s="93" t="inlineStr">
        <is>
          <t>mortuary collection</t>
        </is>
      </c>
      <c r="B12" s="95">
        <f>IFERROR(ROUND(AVERAGE(C12:AU12),2),"")</f>
        <v/>
      </c>
      <c r="C12" s="93" t="n">
        <v>10</v>
      </c>
      <c r="D12" s="93" t="n"/>
      <c r="E12" s="93" t="n">
        <v>7</v>
      </c>
      <c r="F12" s="93" t="n"/>
      <c r="G12" s="93" t="n">
        <v>8</v>
      </c>
      <c r="H12" s="93" t="n">
        <v>6.5</v>
      </c>
      <c r="I12" s="93" t="n"/>
      <c r="J12" s="93" t="n"/>
      <c r="K12" s="93" t="n"/>
      <c r="L12" s="93" t="n">
        <v>8</v>
      </c>
      <c r="M12" s="93" t="n"/>
      <c r="N12" s="93" t="n"/>
      <c r="O12" s="93" t="n"/>
      <c r="P12" s="93" t="n"/>
      <c r="Q12" s="93" t="n"/>
      <c r="R12" s="93" t="n"/>
      <c r="S12" s="93" t="n"/>
      <c r="T12" s="93" t="n"/>
      <c r="U12" s="93" t="n"/>
      <c r="V12" s="93" t="n"/>
      <c r="W12" s="93" t="n"/>
      <c r="X12" s="93" t="n"/>
      <c r="Y12" s="93" t="n"/>
      <c r="Z12" s="93" t="n"/>
      <c r="AA12" s="93" t="n"/>
      <c r="AB12" s="93" t="n"/>
      <c r="AC12" s="93" t="n"/>
      <c r="AD12" s="93" t="n"/>
      <c r="AE12" s="93" t="n"/>
      <c r="AF12" s="93" t="n"/>
      <c r="AG12" s="93" t="n"/>
      <c r="AH12" s="93" t="n"/>
      <c r="AI12" s="93" t="n"/>
      <c r="AJ12" s="93" t="n"/>
      <c r="AK12" s="93" t="n"/>
      <c r="AL12" s="93" t="n"/>
      <c r="AM12" s="93" t="n"/>
      <c r="AN12" s="93" t="n"/>
      <c r="AP12" s="94" t="n"/>
      <c r="AQ12" s="94" t="n"/>
      <c r="AR12" s="93" t="n"/>
      <c r="AS12" s="93" t="n"/>
      <c r="AT12" s="93" t="n"/>
      <c r="AU12" s="93" t="n"/>
      <c r="AV12" s="93" t="n"/>
      <c r="AW12" s="93">
        <f>IF(COUNT(C12:AU12)=0,"",COUNT(C12:AU12))</f>
        <v/>
      </c>
      <c r="AX12" s="95" t="n"/>
      <c r="AY12" s="93" t="n"/>
      <c r="AZ12" s="93" t="n"/>
      <c r="BA12" s="93" t="n"/>
      <c r="BB12" s="93" t="n"/>
      <c r="BC12" s="93" t="n"/>
      <c r="BD12" s="93" t="n"/>
      <c r="BE12" s="93" t="n"/>
      <c r="BF12" s="93" t="n"/>
      <c r="BG12" s="93" t="n"/>
      <c r="BH12" s="93" t="n"/>
      <c r="BI12" s="93" t="n"/>
      <c r="BJ12" s="93" t="n"/>
      <c r="BK12" s="93" t="n"/>
      <c r="BL12" s="93" t="n"/>
      <c r="BM12" s="93" t="n"/>
      <c r="BN12" s="93" t="n"/>
      <c r="BO12" s="93" t="n"/>
      <c r="BP12" s="93" t="n"/>
      <c r="BQ12" s="93" t="n"/>
      <c r="BR12" s="93" t="n"/>
      <c r="BS12" s="93" t="n"/>
      <c r="BT12" s="93" t="n"/>
      <c r="BU12" s="93" t="n"/>
      <c r="BV12" s="93" t="n"/>
      <c r="BW12" s="93" t="n"/>
      <c r="BX12" s="93" t="n"/>
      <c r="BY12" s="93" t="n"/>
      <c r="BZ12" s="93" t="n"/>
    </row>
    <row r="13">
      <c r="A13" s="93" t="inlineStr">
        <is>
          <t>psycho goreman</t>
        </is>
      </c>
      <c r="B13" s="95">
        <f>IFERROR(ROUND(AVERAGE(C13:AU13),2),"")</f>
        <v/>
      </c>
      <c r="C13" s="93" t="n">
        <v>8</v>
      </c>
      <c r="D13" s="93" t="n"/>
      <c r="E13" s="93" t="n">
        <v>10</v>
      </c>
      <c r="F13" s="93" t="n"/>
      <c r="G13" s="93" t="n">
        <v>6</v>
      </c>
      <c r="H13" s="93" t="n">
        <v>9.5</v>
      </c>
      <c r="I13" s="93" t="n"/>
      <c r="J13" s="93" t="n"/>
      <c r="K13" s="93" t="n"/>
      <c r="L13" s="93" t="n">
        <v>7.5</v>
      </c>
      <c r="M13" s="93" t="n"/>
      <c r="N13" s="93" t="n"/>
      <c r="O13" s="93" t="n"/>
      <c r="P13" s="93" t="n"/>
      <c r="Q13" s="93" t="n"/>
      <c r="R13" s="93" t="n"/>
      <c r="S13" s="93" t="n"/>
      <c r="T13" s="93" t="n"/>
      <c r="U13" s="93" t="n"/>
      <c r="V13" s="93" t="n"/>
      <c r="W13" s="93" t="n"/>
      <c r="X13" s="93" t="n"/>
      <c r="Y13" s="93" t="n"/>
      <c r="Z13" s="93" t="n"/>
      <c r="AA13" s="93" t="n"/>
      <c r="AB13" s="93" t="n"/>
      <c r="AC13" s="93" t="n"/>
      <c r="AD13" s="93" t="n"/>
      <c r="AE13" s="93" t="n"/>
      <c r="AF13" s="93" t="n"/>
      <c r="AG13" s="93" t="n"/>
      <c r="AH13" s="93" t="n"/>
      <c r="AI13" s="93" t="n"/>
      <c r="AJ13" s="93" t="n"/>
      <c r="AK13" s="93" t="n"/>
      <c r="AL13" s="93" t="n"/>
      <c r="AM13" s="93" t="n"/>
      <c r="AN13" s="93" t="n"/>
      <c r="AP13" s="94" t="n"/>
      <c r="AQ13" s="94" t="n"/>
      <c r="AR13" s="93" t="n"/>
      <c r="AS13" s="93" t="n"/>
      <c r="AT13" s="93" t="n"/>
      <c r="AU13" s="93" t="n"/>
      <c r="AV13" s="93" t="n"/>
      <c r="AW13" s="93">
        <f>IF(COUNT(C13:AU13)=0,"",COUNT(C13:AU13))</f>
        <v/>
      </c>
      <c r="AX13" s="95" t="n"/>
      <c r="AY13" s="93" t="n"/>
      <c r="AZ13" s="93" t="n"/>
      <c r="BA13" s="93" t="n"/>
      <c r="BB13" s="93" t="n"/>
      <c r="BC13" s="93" t="n"/>
      <c r="BD13" s="93" t="n"/>
      <c r="BE13" s="93" t="n"/>
      <c r="BF13" s="93" t="n"/>
      <c r="BG13" s="93" t="n"/>
      <c r="BH13" s="93" t="n"/>
      <c r="BI13" s="93" t="n"/>
      <c r="BJ13" s="93" t="n"/>
      <c r="BK13" s="93" t="n"/>
      <c r="BL13" s="93" t="n"/>
      <c r="BM13" s="93" t="n"/>
      <c r="BN13" s="93" t="n"/>
      <c r="BO13" s="93" t="n"/>
      <c r="BP13" s="93" t="n"/>
      <c r="BQ13" s="93" t="n"/>
      <c r="BR13" s="93" t="n"/>
      <c r="BS13" s="93" t="n"/>
      <c r="BT13" s="93" t="n"/>
      <c r="BU13" s="93">
        <f>MAX(AW11:AW13)</f>
        <v/>
      </c>
      <c r="BV13" s="93" t="n"/>
      <c r="BW13" s="93" t="n"/>
      <c r="BX13" s="93" t="n"/>
      <c r="BY13" s="93" t="n"/>
      <c r="BZ13" s="93" t="n"/>
    </row>
    <row r="14">
      <c r="B14" s="95">
        <f>IFERROR(ROUND(AVERAGE(C14:AU14),2),"")</f>
        <v/>
      </c>
      <c r="AP14" s="96" t="n"/>
      <c r="AQ14" s="96" t="n"/>
      <c r="AW14" s="93">
        <f>IF(COUNT(C14:AU14)=0,"",COUNT(C14:AU14))</f>
        <v/>
      </c>
      <c r="AX14" s="104" t="n"/>
    </row>
    <row r="15">
      <c r="A15" s="93" t="inlineStr">
        <is>
          <t>host</t>
        </is>
      </c>
      <c r="B15" s="95">
        <f>IFERROR(ROUND(AVERAGE(C15:AU15),2),"")</f>
        <v/>
      </c>
      <c r="C15" s="93" t="n">
        <v>2</v>
      </c>
      <c r="D15" s="93" t="n">
        <v>2</v>
      </c>
      <c r="E15" s="93" t="n">
        <v>5</v>
      </c>
      <c r="F15" s="93" t="n">
        <v>3</v>
      </c>
      <c r="G15" s="93" t="n"/>
      <c r="H15" s="93" t="n">
        <v>4</v>
      </c>
      <c r="I15" s="93" t="n"/>
      <c r="J15" s="93" t="n">
        <v>7</v>
      </c>
      <c r="K15" s="93" t="n"/>
      <c r="L15" s="93" t="n">
        <v>1</v>
      </c>
      <c r="M15" s="93" t="n"/>
      <c r="N15" s="93" t="n"/>
      <c r="O15" s="93" t="n"/>
      <c r="P15" s="93" t="n"/>
      <c r="Q15" s="93" t="n"/>
      <c r="R15" s="93" t="n"/>
      <c r="S15" s="93" t="n">
        <v>2</v>
      </c>
      <c r="T15" s="93" t="n"/>
      <c r="U15" s="93" t="n"/>
      <c r="V15" s="93" t="n"/>
      <c r="W15" s="93" t="n"/>
      <c r="X15" s="93" t="n"/>
      <c r="Y15" s="93" t="n"/>
      <c r="Z15" s="93" t="n"/>
      <c r="AA15" s="93" t="n"/>
      <c r="AB15" s="93" t="n"/>
      <c r="AC15" s="93" t="n"/>
      <c r="AD15" s="93" t="n"/>
      <c r="AE15" s="93" t="n"/>
      <c r="AF15" s="93" t="n"/>
      <c r="AG15" s="93" t="n"/>
      <c r="AH15" s="93" t="n"/>
      <c r="AI15" s="93" t="n"/>
      <c r="AJ15" s="93" t="n"/>
      <c r="AK15" s="93" t="n"/>
      <c r="AL15" s="93" t="n"/>
      <c r="AM15" s="93" t="n"/>
      <c r="AN15" s="93" t="n"/>
      <c r="AP15" s="94" t="n"/>
      <c r="AQ15" s="94" t="n"/>
      <c r="AR15" s="93" t="n"/>
      <c r="AS15" s="93" t="n"/>
      <c r="AT15" s="93" t="n"/>
      <c r="AU15" s="93" t="n"/>
      <c r="AV15" s="93" t="n"/>
      <c r="AW15" s="93">
        <f>IF(COUNT(C15:AU15)=0,"",COUNT(C15:AU15))</f>
        <v/>
      </c>
      <c r="AX15" s="95" t="n"/>
      <c r="AY15" s="93" t="n"/>
      <c r="AZ15" s="93" t="n"/>
      <c r="BA15" s="93" t="n"/>
      <c r="BB15" s="93" t="n"/>
      <c r="BC15" s="93" t="n"/>
      <c r="BD15" s="93" t="n"/>
      <c r="BE15" s="93" t="n"/>
      <c r="BF15" s="93" t="n"/>
      <c r="BG15" s="93" t="n"/>
      <c r="BH15" s="93" t="n"/>
      <c r="BI15" s="93" t="n"/>
      <c r="BJ15" s="93" t="n"/>
      <c r="BK15" s="93" t="n"/>
      <c r="BL15" s="93" t="n"/>
      <c r="BM15" s="93" t="n"/>
      <c r="BN15" s="93" t="n"/>
      <c r="BO15" s="93" t="n"/>
      <c r="BP15" s="93" t="n"/>
      <c r="BQ15" s="93" t="n"/>
      <c r="BR15" s="93" t="n"/>
      <c r="BS15" s="93" t="n"/>
      <c r="BT15" s="93" t="n"/>
      <c r="BU15" s="93" t="n"/>
      <c r="BV15" s="93" t="n"/>
      <c r="BW15" s="93" t="n"/>
      <c r="BX15" s="93" t="n"/>
      <c r="BY15" s="93" t="n"/>
      <c r="BZ15" s="93" t="n"/>
    </row>
    <row r="16">
      <c r="A16" s="93" t="inlineStr">
        <is>
          <t xml:space="preserve">mandy </t>
        </is>
      </c>
      <c r="B16" s="95">
        <f>IFERROR(ROUND(AVERAGE(C16:AU16),2),"")</f>
        <v/>
      </c>
      <c r="C16" s="93" t="n">
        <v>4</v>
      </c>
      <c r="D16" s="93" t="n">
        <v>1</v>
      </c>
      <c r="E16" s="93" t="n">
        <v>1</v>
      </c>
      <c r="F16" s="93" t="n">
        <v>2</v>
      </c>
      <c r="G16" s="93" t="n"/>
      <c r="H16" s="93" t="n">
        <v>1</v>
      </c>
      <c r="I16" s="93" t="n"/>
      <c r="J16" s="93" t="n">
        <v>4</v>
      </c>
      <c r="K16" s="93" t="n"/>
      <c r="L16" s="93" t="n">
        <v>1</v>
      </c>
      <c r="M16" s="93" t="n"/>
      <c r="N16" s="93" t="n"/>
      <c r="O16" s="93" t="n"/>
      <c r="P16" s="93" t="n"/>
      <c r="Q16" s="93" t="n"/>
      <c r="R16" s="93" t="n"/>
      <c r="S16" s="93" t="n">
        <v>1</v>
      </c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P16" s="94" t="n"/>
      <c r="AQ16" s="94" t="n"/>
      <c r="AR16" s="93" t="n"/>
      <c r="AS16" s="93" t="n"/>
      <c r="AT16" s="93" t="n"/>
      <c r="AU16" s="93" t="n"/>
      <c r="AV16" s="93" t="n"/>
      <c r="AW16" s="93">
        <f>IF(COUNT(C16:AU16)=0,"",COUNT(C16:AU16))</f>
        <v/>
      </c>
      <c r="AX16" s="95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</row>
    <row r="17">
      <c r="A17" s="93" t="inlineStr">
        <is>
          <t>annihilation</t>
        </is>
      </c>
      <c r="B17" s="95">
        <f>IFERROR(ROUND(AVERAGE(C17:AU17),2),"")</f>
        <v/>
      </c>
      <c r="C17" s="93" t="n">
        <v>4</v>
      </c>
      <c r="D17" s="93" t="n">
        <v>3</v>
      </c>
      <c r="E17" s="93" t="n">
        <v>3</v>
      </c>
      <c r="F17" s="93" t="n">
        <v>4</v>
      </c>
      <c r="G17" s="93" t="n"/>
      <c r="H17" s="93" t="n">
        <v>5</v>
      </c>
      <c r="I17" s="93" t="n"/>
      <c r="J17" s="93" t="n"/>
      <c r="K17" s="93" t="n"/>
      <c r="L17" s="93" t="n"/>
      <c r="M17" s="93" t="n"/>
      <c r="N17" s="93" t="n"/>
      <c r="O17" s="93" t="n"/>
      <c r="P17" s="93" t="n"/>
      <c r="Q17" s="93" t="n"/>
      <c r="R17" s="93" t="n"/>
      <c r="S17" s="93" t="n"/>
      <c r="T17" s="93" t="n"/>
      <c r="U17" s="93" t="n"/>
      <c r="V17" s="93" t="n"/>
      <c r="W17" s="93" t="n"/>
      <c r="X17" s="93" t="n"/>
      <c r="Y17" s="93" t="n"/>
      <c r="Z17" s="93" t="n"/>
      <c r="AA17" s="93" t="n"/>
      <c r="AB17" s="93" t="n"/>
      <c r="AC17" s="93" t="n"/>
      <c r="AD17" s="93" t="n"/>
      <c r="AE17" s="93" t="n"/>
      <c r="AF17" s="93" t="n"/>
      <c r="AG17" s="93" t="n"/>
      <c r="AH17" s="93" t="n"/>
      <c r="AI17" s="93" t="n"/>
      <c r="AJ17" s="93" t="n"/>
      <c r="AK17" s="93" t="n"/>
      <c r="AL17" s="93" t="n"/>
      <c r="AM17" s="93" t="n"/>
      <c r="AN17" s="93" t="n"/>
      <c r="AP17" s="94" t="n"/>
      <c r="AQ17" s="94" t="n"/>
      <c r="AR17" s="93" t="n"/>
      <c r="AS17" s="93" t="n"/>
      <c r="AT17" s="93" t="n"/>
      <c r="AU17" s="93" t="n"/>
      <c r="AV17" s="93" t="n"/>
      <c r="AW17" s="93">
        <f>IF(COUNT(C17:AU17)=0,"",COUNT(C17:AU17))</f>
        <v/>
      </c>
      <c r="AX17" s="95" t="n"/>
      <c r="AY17" s="93" t="n"/>
      <c r="AZ17" s="93" t="n"/>
      <c r="BA17" s="93" t="n"/>
      <c r="BB17" s="93" t="n"/>
      <c r="BC17" s="93" t="n"/>
      <c r="BD17" s="93" t="n"/>
      <c r="BE17" s="93" t="n"/>
      <c r="BF17" s="93" t="n"/>
      <c r="BG17" s="93" t="n"/>
      <c r="BH17" s="93" t="n"/>
      <c r="BI17" s="93" t="n"/>
      <c r="BJ17" s="93" t="n"/>
      <c r="BK17" s="93" t="n"/>
      <c r="BL17" s="93" t="n"/>
      <c r="BM17" s="93" t="n"/>
      <c r="BN17" s="93" t="n"/>
      <c r="BO17" s="93" t="n"/>
      <c r="BP17" s="93" t="n"/>
      <c r="BQ17" s="93" t="n"/>
      <c r="BR17" s="93" t="n"/>
      <c r="BS17" s="93" t="n"/>
      <c r="BT17" s="93" t="n"/>
      <c r="BU17" s="93">
        <f>MAX(AW15:AW17)</f>
        <v/>
      </c>
      <c r="BV17" s="93" t="n"/>
      <c r="BW17" s="93" t="n"/>
      <c r="BX17" s="93" t="n"/>
      <c r="BY17" s="93" t="n"/>
      <c r="BZ17" s="93" t="n"/>
    </row>
    <row r="18">
      <c r="B18" s="95">
        <f>IFERROR(ROUND(AVERAGE(C18:AU18),2),"")</f>
        <v/>
      </c>
      <c r="AP18" s="96" t="n"/>
      <c r="AQ18" s="96" t="n"/>
      <c r="AW18" s="93">
        <f>IF(COUNT(C18:AU18)=0,"",COUNT(C18:AU18))</f>
        <v/>
      </c>
      <c r="AX18" s="104" t="n"/>
    </row>
    <row r="19">
      <c r="A19" s="93" t="inlineStr">
        <is>
          <t>w lesie dzis nie zasnie nikt</t>
        </is>
      </c>
      <c r="B19" s="95">
        <f>IFERROR(ROUND(AVERAGE(C19:AU19),2),"")</f>
        <v/>
      </c>
      <c r="C19" s="93" t="n">
        <v>3</v>
      </c>
      <c r="D19" s="93" t="n">
        <v>2.5</v>
      </c>
      <c r="E19" s="93" t="n">
        <v>3</v>
      </c>
      <c r="F19" s="93" t="n">
        <v>3</v>
      </c>
      <c r="G19" s="93" t="n">
        <v>3</v>
      </c>
      <c r="H19" s="93" t="n">
        <v>4</v>
      </c>
      <c r="I19" s="93" t="n"/>
      <c r="J19" s="93" t="n"/>
      <c r="K19" s="93" t="n"/>
      <c r="L19" s="93" t="n">
        <v>3</v>
      </c>
      <c r="M19" s="93" t="n">
        <v>2</v>
      </c>
      <c r="N19" s="93" t="n"/>
      <c r="O19" s="93" t="n">
        <v>3</v>
      </c>
      <c r="P19" s="93" t="n"/>
      <c r="Q19" s="93" t="n"/>
      <c r="R19" s="93" t="n"/>
      <c r="S19" s="93" t="n"/>
      <c r="T19" s="93" t="n">
        <v>4</v>
      </c>
      <c r="U19" s="93" t="n"/>
      <c r="V19" s="93" t="n">
        <v>2</v>
      </c>
      <c r="W19" s="93" t="n">
        <v>3</v>
      </c>
      <c r="X19" s="93" t="n">
        <v>2</v>
      </c>
      <c r="Y19" s="93" t="n">
        <v>1</v>
      </c>
      <c r="Z19" s="93" t="n"/>
      <c r="AA19" s="93" t="n"/>
      <c r="AB19" s="93" t="n"/>
      <c r="AC19" s="93" t="n"/>
      <c r="AD19" s="93" t="n"/>
      <c r="AE19" s="93" t="n"/>
      <c r="AF19" s="93" t="n"/>
      <c r="AG19" s="93" t="n"/>
      <c r="AH19" s="93" t="n"/>
      <c r="AI19" s="93" t="n"/>
      <c r="AJ19" s="93" t="n"/>
      <c r="AK19" s="93" t="n"/>
      <c r="AL19" s="93" t="n"/>
      <c r="AM19" s="93" t="n"/>
      <c r="AN19" s="93" t="n"/>
      <c r="AP19" s="94" t="n"/>
      <c r="AQ19" s="94" t="n"/>
      <c r="AR19" s="93" t="n"/>
      <c r="AS19" s="93" t="n"/>
      <c r="AT19" s="93" t="n"/>
      <c r="AU19" s="93" t="n"/>
      <c r="AV19" s="93" t="n"/>
      <c r="AW19" s="93">
        <f>IF(COUNT(C19:AU19)=0,"",COUNT(C19:AU19))</f>
        <v/>
      </c>
      <c r="AX19" s="95" t="n"/>
      <c r="AY19" s="93" t="n"/>
      <c r="AZ19" s="93" t="n"/>
      <c r="BA19" s="93" t="n"/>
      <c r="BB19" s="93" t="n"/>
      <c r="BC19" s="93" t="n"/>
      <c r="BD19" s="93" t="n"/>
      <c r="BE19" s="93" t="n"/>
      <c r="BF19" s="93" t="n"/>
      <c r="BG19" s="93" t="n"/>
      <c r="BH19" s="93" t="n"/>
      <c r="BI19" s="93" t="n"/>
      <c r="BJ19" s="93" t="n"/>
      <c r="BK19" s="93" t="n"/>
      <c r="BL19" s="93" t="n"/>
      <c r="BM19" s="93" t="n"/>
      <c r="BN19" s="93" t="n"/>
      <c r="BO19" s="93" t="n"/>
      <c r="BP19" s="93" t="n"/>
      <c r="BQ19" s="93" t="n"/>
      <c r="BR19" s="93" t="n"/>
      <c r="BS19" s="93" t="n"/>
      <c r="BT19" s="93" t="n"/>
      <c r="BU19" s="93" t="n"/>
      <c r="BV19" s="93" t="n"/>
      <c r="BW19" s="93" t="n"/>
      <c r="BX19" s="93" t="n"/>
      <c r="BY19" s="93" t="n"/>
      <c r="BZ19" s="93" t="n"/>
    </row>
    <row r="20">
      <c r="A20" s="93" t="inlineStr">
        <is>
          <t>the wretched</t>
        </is>
      </c>
      <c r="B20" s="95">
        <f>IFERROR(ROUND(AVERAGE(C20:AU20),2),"")</f>
        <v/>
      </c>
      <c r="C20" s="93" t="n">
        <v>7</v>
      </c>
      <c r="D20" s="93" t="n">
        <v>6</v>
      </c>
      <c r="E20" s="93" t="n">
        <v>8</v>
      </c>
      <c r="F20" s="93" t="n">
        <v>6</v>
      </c>
      <c r="G20" s="93" t="n">
        <v>7.5</v>
      </c>
      <c r="H20" s="93" t="n">
        <v>2</v>
      </c>
      <c r="I20" s="93" t="n"/>
      <c r="J20" s="93" t="n"/>
      <c r="K20" s="93" t="n"/>
      <c r="L20" s="93" t="n">
        <v>6.5</v>
      </c>
      <c r="M20" s="93" t="n">
        <v>5</v>
      </c>
      <c r="N20" s="93" t="n"/>
      <c r="O20" s="93" t="n">
        <v>6</v>
      </c>
      <c r="P20" s="93" t="n"/>
      <c r="Q20" s="93" t="n"/>
      <c r="R20" s="93" t="n"/>
      <c r="S20" s="93" t="n"/>
      <c r="T20" s="93" t="n">
        <v>6</v>
      </c>
      <c r="U20" s="93" t="n"/>
      <c r="V20" s="93" t="n">
        <v>5.5</v>
      </c>
      <c r="W20" s="93" t="n">
        <v>5</v>
      </c>
      <c r="X20" s="93" t="n">
        <v>6</v>
      </c>
      <c r="Y20" s="93" t="n">
        <v>7</v>
      </c>
      <c r="Z20" s="93" t="n"/>
      <c r="AA20" s="93" t="n"/>
      <c r="AB20" s="93" t="n"/>
      <c r="AC20" s="93" t="n"/>
      <c r="AD20" s="93" t="n"/>
      <c r="AE20" s="93" t="n"/>
      <c r="AF20" s="93" t="n"/>
      <c r="AG20" s="93" t="n"/>
      <c r="AH20" s="93" t="n"/>
      <c r="AI20" s="93" t="n"/>
      <c r="AJ20" s="93" t="n"/>
      <c r="AK20" s="93" t="n"/>
      <c r="AL20" s="93" t="n"/>
      <c r="AM20" s="93" t="n"/>
      <c r="AN20" s="93" t="n"/>
      <c r="AP20" s="94" t="n"/>
      <c r="AQ20" s="94" t="n"/>
      <c r="AR20" s="93" t="n"/>
      <c r="AS20" s="93" t="n"/>
      <c r="AT20" s="93" t="n"/>
      <c r="AU20" s="93" t="n"/>
      <c r="AV20" s="93" t="n"/>
      <c r="AW20" s="93">
        <f>IF(COUNT(C20:AU20)=0,"",COUNT(C20:AU20))</f>
        <v/>
      </c>
      <c r="AX20" s="95" t="n"/>
      <c r="AY20" s="93" t="n"/>
      <c r="AZ20" s="93" t="n"/>
      <c r="BA20" s="93" t="n"/>
      <c r="BB20" s="93" t="n"/>
      <c r="BC20" s="93" t="n"/>
      <c r="BD20" s="93" t="n"/>
      <c r="BE20" s="93" t="n"/>
      <c r="BF20" s="93" t="n"/>
      <c r="BG20" s="93" t="n"/>
      <c r="BH20" s="93" t="n"/>
      <c r="BI20" s="93" t="n"/>
      <c r="BJ20" s="93" t="n"/>
      <c r="BK20" s="93" t="n"/>
      <c r="BL20" s="93" t="n"/>
      <c r="BM20" s="93" t="n"/>
      <c r="BN20" s="93" t="n"/>
      <c r="BO20" s="93" t="n"/>
      <c r="BP20" s="93" t="n"/>
      <c r="BQ20" s="93" t="n"/>
      <c r="BR20" s="93" t="n"/>
      <c r="BS20" s="93" t="n"/>
      <c r="BT20" s="93" t="n"/>
      <c r="BU20" s="93" t="n"/>
      <c r="BV20" s="93" t="n"/>
      <c r="BW20" s="93" t="n"/>
      <c r="BX20" s="93" t="n"/>
      <c r="BY20" s="93" t="n"/>
      <c r="BZ20" s="93" t="n"/>
    </row>
    <row r="21">
      <c r="A21" s="97" t="inlineStr">
        <is>
          <t>zabawa w pochowanego</t>
        </is>
      </c>
      <c r="B21" s="95">
        <f>IFERROR(ROUND(AVERAGE(C21:AU21),2),"")</f>
        <v/>
      </c>
      <c r="C21" s="93" t="n">
        <v>9</v>
      </c>
      <c r="D21" s="93" t="n">
        <v>9</v>
      </c>
      <c r="E21" s="93" t="n">
        <v>8</v>
      </c>
      <c r="F21" s="93" t="n">
        <v>9</v>
      </c>
      <c r="G21" s="93" t="n">
        <v>8.5</v>
      </c>
      <c r="H21" s="93" t="n">
        <v>10</v>
      </c>
      <c r="I21" s="93" t="n"/>
      <c r="J21" s="93" t="n"/>
      <c r="K21" s="93" t="n"/>
      <c r="L21" s="93" t="n"/>
      <c r="M21" s="93" t="n">
        <v>8.5</v>
      </c>
      <c r="N21" s="93" t="n"/>
      <c r="O21" s="93" t="n">
        <v>8.5</v>
      </c>
      <c r="P21" s="93" t="n"/>
      <c r="Q21" s="93" t="n"/>
      <c r="R21" s="93" t="n"/>
      <c r="S21" s="93" t="n"/>
      <c r="T21" s="93" t="n">
        <v>8</v>
      </c>
      <c r="U21" s="93" t="n">
        <v>7</v>
      </c>
      <c r="V21" s="93" t="n">
        <v>8</v>
      </c>
      <c r="W21" s="93" t="n">
        <v>9</v>
      </c>
      <c r="X21" s="93" t="n"/>
      <c r="Y21" s="93" t="n"/>
      <c r="Z21" s="93" t="n"/>
      <c r="AA21" s="93" t="n"/>
      <c r="AB21" s="93" t="n"/>
      <c r="AC21" s="93" t="n"/>
      <c r="AD21" s="93" t="n"/>
      <c r="AE21" s="93" t="n"/>
      <c r="AF21" s="93" t="n"/>
      <c r="AG21" s="93" t="n"/>
      <c r="AH21" s="93" t="n"/>
      <c r="AI21" s="93" t="n"/>
      <c r="AJ21" s="93" t="n"/>
      <c r="AK21" s="93" t="n"/>
      <c r="AL21" s="93" t="n"/>
      <c r="AM21" s="93" t="n"/>
      <c r="AN21" s="93" t="n"/>
      <c r="AP21" s="94" t="n"/>
      <c r="AQ21" s="94" t="n"/>
      <c r="AR21" s="93" t="n"/>
      <c r="AS21" s="93" t="n"/>
      <c r="AT21" s="93" t="n"/>
      <c r="AU21" s="93" t="n"/>
      <c r="AV21" s="93" t="n"/>
      <c r="AW21" s="93">
        <f>IF(COUNT(C21:AU21)=0,"",COUNT(C21:AU21))</f>
        <v/>
      </c>
      <c r="AX21" s="95" t="n"/>
      <c r="AY21" s="93" t="n"/>
      <c r="AZ21" s="93" t="n"/>
      <c r="BA21" s="93" t="n"/>
      <c r="BB21" s="93" t="n"/>
      <c r="BC21" s="93" t="n"/>
      <c r="BD21" s="93" t="n"/>
      <c r="BE21" s="93" t="n"/>
      <c r="BF21" s="93" t="n"/>
      <c r="BG21" s="93" t="n"/>
      <c r="BH21" s="93" t="n"/>
      <c r="BI21" s="93" t="n"/>
      <c r="BJ21" s="93" t="n"/>
      <c r="BK21" s="93" t="n"/>
      <c r="BL21" s="93" t="n"/>
      <c r="BM21" s="93" t="n"/>
      <c r="BN21" s="93" t="n"/>
      <c r="BO21" s="93" t="n"/>
      <c r="BP21" s="93" t="n"/>
      <c r="BQ21" s="93" t="n"/>
      <c r="BR21" s="93" t="n"/>
      <c r="BS21" s="93" t="n"/>
      <c r="BT21" s="93" t="n"/>
      <c r="BU21" s="93">
        <f>MAX(AW19:AW21)</f>
        <v/>
      </c>
      <c r="BV21" s="93" t="n"/>
      <c r="BW21" s="93" t="n"/>
      <c r="BX21" s="93" t="n"/>
      <c r="BY21" s="93" t="n"/>
      <c r="BZ21" s="93" t="n"/>
    </row>
    <row r="22">
      <c r="B22" s="95">
        <f>IFERROR(ROUND(AVERAGE(C22:AU22),2),"")</f>
        <v/>
      </c>
      <c r="AP22" s="96" t="n"/>
      <c r="AQ22" s="96" t="n"/>
      <c r="AW22" s="93">
        <f>IF(COUNT(C22:AU22)=0,"",COUNT(C22:AU22))</f>
        <v/>
      </c>
      <c r="AX22" s="104" t="n"/>
    </row>
    <row r="23">
      <c r="A23" s="93" t="inlineStr">
        <is>
          <t>noc oczyszczenia zegnaj ameryko</t>
        </is>
      </c>
      <c r="B23" s="95">
        <f>IFERROR(ROUND(AVERAGE(C23:AU23),2),"")</f>
        <v/>
      </c>
      <c r="C23" s="93" t="n">
        <v>7</v>
      </c>
      <c r="D23" s="93" t="n"/>
      <c r="E23" s="93" t="n">
        <v>6</v>
      </c>
      <c r="F23" s="93" t="n">
        <v>5.5</v>
      </c>
      <c r="G23" s="93" t="n">
        <v>5.5</v>
      </c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  <c r="R23" s="93" t="n"/>
      <c r="S23" s="93" t="n"/>
      <c r="T23" s="93" t="n"/>
      <c r="U23" s="93" t="n"/>
      <c r="V23" s="93" t="n"/>
      <c r="W23" s="93" t="n"/>
      <c r="X23" s="93" t="n"/>
      <c r="Y23" s="93" t="n"/>
      <c r="Z23" s="93" t="n"/>
      <c r="AA23" s="93" t="n"/>
      <c r="AB23" s="93" t="n"/>
      <c r="AC23" s="93" t="n"/>
      <c r="AD23" s="93" t="n"/>
      <c r="AE23" s="93" t="n"/>
      <c r="AF23" s="93" t="n"/>
      <c r="AG23" s="93" t="n"/>
      <c r="AH23" s="93" t="n"/>
      <c r="AI23" s="93" t="n"/>
      <c r="AJ23" s="93" t="n"/>
      <c r="AK23" s="93" t="n"/>
      <c r="AL23" s="93" t="n"/>
      <c r="AM23" s="93" t="n"/>
      <c r="AN23" s="93" t="n"/>
      <c r="AP23" s="94" t="n"/>
      <c r="AQ23" s="94" t="n"/>
      <c r="AR23" s="93" t="n"/>
      <c r="AS23" s="93" t="n"/>
      <c r="AT23" s="93" t="n"/>
      <c r="AU23" s="93" t="n"/>
      <c r="AV23" s="93" t="n"/>
      <c r="AW23" s="93">
        <f>IF(COUNT(C23:AU23)=0,"",COUNT(C23:AU23))</f>
        <v/>
      </c>
      <c r="AX23" s="95" t="n"/>
      <c r="AY23" s="93" t="n"/>
      <c r="AZ23" s="93" t="n"/>
      <c r="BA23" s="93" t="n"/>
      <c r="BB23" s="93" t="n"/>
      <c r="BC23" s="93" t="n"/>
      <c r="BD23" s="93" t="n"/>
      <c r="BE23" s="93" t="n"/>
      <c r="BF23" s="93" t="n"/>
      <c r="BG23" s="93" t="n"/>
      <c r="BH23" s="93" t="n"/>
      <c r="BI23" s="93" t="n"/>
      <c r="BJ23" s="93" t="n"/>
      <c r="BK23" s="93" t="n"/>
      <c r="BL23" s="93" t="n"/>
      <c r="BM23" s="93" t="n"/>
      <c r="BN23" s="93" t="n"/>
      <c r="BO23" s="93" t="n"/>
      <c r="BP23" s="93" t="n"/>
      <c r="BQ23" s="93" t="n"/>
      <c r="BR23" s="93" t="n"/>
      <c r="BS23" s="93" t="n"/>
      <c r="BT23" s="93" t="n"/>
      <c r="BU23" s="93">
        <f>MAX(AW21:AW23)</f>
        <v/>
      </c>
      <c r="BV23" s="93" t="n"/>
      <c r="BW23" s="93" t="n"/>
      <c r="BX23" s="93" t="n"/>
      <c r="BY23" s="93" t="n"/>
      <c r="BZ23" s="93" t="n"/>
    </row>
    <row r="24">
      <c r="A24" s="121" t="n"/>
      <c r="B24" s="95">
        <f>IFERROR(ROUND(AVERAGE(C24:AU24),2),"")</f>
        <v/>
      </c>
      <c r="C24" s="121" t="n"/>
      <c r="D24" s="121" t="n"/>
      <c r="E24" s="121" t="n"/>
      <c r="F24" s="121" t="n"/>
      <c r="G24" s="121" t="n"/>
      <c r="H24" s="121" t="n"/>
      <c r="I24" s="121" t="n"/>
      <c r="J24" s="121" t="n"/>
      <c r="K24" s="121" t="n"/>
      <c r="L24" s="121" t="n"/>
      <c r="M24" s="121" t="n"/>
      <c r="N24" s="121" t="n"/>
      <c r="O24" s="121" t="n"/>
      <c r="P24" s="121" t="n"/>
      <c r="Q24" s="121" t="n"/>
      <c r="R24" s="121" t="n"/>
      <c r="S24" s="121" t="n"/>
      <c r="T24" s="121" t="n"/>
      <c r="U24" s="121" t="n"/>
      <c r="V24" s="121" t="n"/>
      <c r="W24" s="121" t="n"/>
      <c r="X24" s="121" t="n"/>
      <c r="Y24" s="121" t="n"/>
      <c r="Z24" s="121" t="n"/>
      <c r="AA24" s="121" t="n"/>
      <c r="AB24" s="121" t="n"/>
      <c r="AC24" s="121" t="n"/>
      <c r="AD24" s="121" t="n"/>
      <c r="AE24" s="121" t="n"/>
      <c r="AF24" s="121" t="n"/>
      <c r="AG24" s="121" t="n"/>
      <c r="AH24" s="121" t="n"/>
      <c r="AI24" s="121" t="n"/>
      <c r="AJ24" s="121" t="n"/>
      <c r="AK24" s="121" t="n"/>
      <c r="AL24" s="121" t="n"/>
      <c r="AM24" s="121" t="n"/>
      <c r="AN24" s="121" t="n"/>
      <c r="AO24" s="121" t="n"/>
      <c r="AP24" s="99" t="n"/>
      <c r="AQ24" s="99" t="n"/>
      <c r="AR24" s="121" t="n"/>
      <c r="AS24" s="121" t="n"/>
      <c r="AT24" s="121" t="n"/>
      <c r="AU24" s="121" t="n"/>
      <c r="AV24" s="121" t="n"/>
      <c r="AW24" s="93">
        <f>IF(COUNT(C24:AU24)=0,"",COUNT(C24:AU24))</f>
        <v/>
      </c>
      <c r="AX24" s="100" t="n"/>
      <c r="AY24" s="121" t="n"/>
      <c r="AZ24" s="121" t="n"/>
      <c r="BA24" s="121" t="n"/>
      <c r="BB24" s="121" t="n"/>
      <c r="BC24" s="121" t="n"/>
      <c r="BD24" s="121" t="n"/>
      <c r="BE24" s="121" t="n"/>
      <c r="BF24" s="121" t="n"/>
      <c r="BG24" s="121" t="n"/>
      <c r="BH24" s="121" t="n"/>
      <c r="BI24" s="121" t="n"/>
      <c r="BJ24" s="121" t="n"/>
      <c r="BK24" s="121" t="n"/>
      <c r="BL24" s="121" t="n"/>
      <c r="BM24" s="121" t="n"/>
      <c r="BN24" s="121" t="n"/>
      <c r="BO24" s="121" t="n"/>
      <c r="BP24" s="121" t="n"/>
      <c r="BQ24" s="121" t="n"/>
      <c r="BR24" s="121" t="n"/>
      <c r="BS24" s="121" t="n"/>
      <c r="BT24" s="121" t="n"/>
      <c r="BU24" s="121" t="n"/>
      <c r="BV24" s="121" t="n"/>
      <c r="BW24" s="121" t="n"/>
      <c r="BX24" s="121" t="n"/>
      <c r="BY24" s="121" t="n"/>
      <c r="BZ24" s="121" t="n"/>
    </row>
    <row r="25">
      <c r="A25" s="121" t="n"/>
      <c r="B25" s="95" t="n"/>
      <c r="C25" s="121" t="n"/>
      <c r="D25" s="121" t="n"/>
      <c r="E25" s="121" t="n"/>
      <c r="F25" s="121" t="n"/>
      <c r="G25" s="121" t="n"/>
      <c r="H25" s="121" t="n"/>
      <c r="I25" s="121" t="n"/>
      <c r="J25" s="121" t="n"/>
      <c r="K25" s="121" t="n"/>
      <c r="L25" s="121" t="n"/>
      <c r="M25" s="121" t="n"/>
      <c r="N25" s="121" t="n"/>
      <c r="O25" s="121" t="n"/>
      <c r="P25" s="121" t="n"/>
      <c r="Q25" s="121" t="n"/>
      <c r="R25" s="121" t="n"/>
      <c r="S25" s="121" t="n"/>
      <c r="T25" s="121" t="n"/>
      <c r="U25" s="121" t="n"/>
      <c r="V25" s="121" t="n"/>
      <c r="W25" s="121" t="n"/>
      <c r="X25" s="121" t="n"/>
      <c r="Y25" s="121" t="n"/>
      <c r="Z25" s="121" t="n"/>
      <c r="AA25" s="121" t="n"/>
      <c r="AB25" s="121" t="n"/>
      <c r="AC25" s="121" t="n"/>
      <c r="AD25" s="121" t="n"/>
      <c r="AE25" s="121" t="n"/>
      <c r="AF25" s="121" t="n"/>
      <c r="AG25" s="121" t="n"/>
      <c r="AH25" s="121" t="n"/>
      <c r="AI25" s="121" t="n"/>
      <c r="AJ25" s="121" t="n"/>
      <c r="AK25" s="121" t="n"/>
      <c r="AL25" s="121" t="n"/>
      <c r="AM25" s="121" t="n"/>
      <c r="AN25" s="121" t="n"/>
      <c r="AO25" s="121" t="n"/>
      <c r="AP25" s="99" t="n"/>
      <c r="AQ25" s="99" t="n"/>
      <c r="AR25" s="121" t="n"/>
      <c r="AS25" s="121" t="n"/>
      <c r="AT25" s="121" t="n"/>
      <c r="AU25" s="121" t="n"/>
      <c r="AV25" s="121" t="n"/>
      <c r="AW25" s="93">
        <f>IF(COUNT(C25:AU25)=0,"",COUNT(C25:AU25))</f>
        <v/>
      </c>
      <c r="AX25" s="100" t="n"/>
      <c r="AY25" s="121" t="n"/>
      <c r="AZ25" s="121" t="n"/>
      <c r="BA25" s="121" t="n"/>
      <c r="BB25" s="121" t="n"/>
      <c r="BC25" s="121" t="n"/>
      <c r="BD25" s="121" t="n"/>
      <c r="BE25" s="121" t="n"/>
      <c r="BF25" s="121" t="n"/>
      <c r="BG25" s="121" t="n"/>
      <c r="BH25" s="121" t="n"/>
      <c r="BI25" s="121" t="n"/>
      <c r="BJ25" s="121" t="n"/>
      <c r="BK25" s="121" t="n"/>
      <c r="BL25" s="121" t="n"/>
      <c r="BM25" s="121" t="n"/>
      <c r="BN25" s="121" t="n"/>
      <c r="BO25" s="121" t="n"/>
      <c r="BP25" s="121" t="n"/>
      <c r="BQ25" s="121" t="n"/>
      <c r="BR25" s="121" t="n"/>
      <c r="BS25" s="121" t="n"/>
      <c r="BT25" s="121" t="n"/>
      <c r="BU25" s="121" t="n"/>
      <c r="BV25" s="121" t="n"/>
      <c r="BW25" s="121" t="n"/>
      <c r="BX25" s="121" t="n"/>
      <c r="BY25" s="121" t="n"/>
      <c r="BZ25" s="121" t="n"/>
    </row>
    <row r="26">
      <c r="A26" s="101" t="n"/>
      <c r="B26" s="95">
        <f>IFERROR(ROUND(AVERAGE(C26:AU26),2),"")</f>
        <v/>
      </c>
      <c r="AP26" s="96" t="n"/>
      <c r="AQ26" s="96" t="n"/>
      <c r="AW26" s="93">
        <f>IF(COUNT(C26:AU26)=0,"",COUNT(C26:AU26))</f>
        <v/>
      </c>
      <c r="AX26" s="104" t="n"/>
    </row>
    <row r="27">
      <c r="A27" s="93" t="inlineStr">
        <is>
          <t>peninsula</t>
        </is>
      </c>
      <c r="B27" s="95">
        <f>IFERROR(ROUND(AVERAGE(C27:AU27),2),"")</f>
        <v/>
      </c>
      <c r="C27" s="93" t="n">
        <v>6</v>
      </c>
      <c r="D27" s="93" t="n">
        <v>4</v>
      </c>
      <c r="E27" s="93" t="n">
        <v>3</v>
      </c>
      <c r="F27" s="93" t="n">
        <v>5.5</v>
      </c>
      <c r="G27" s="93" t="n">
        <v>5</v>
      </c>
      <c r="H27" s="93" t="n">
        <v>8</v>
      </c>
      <c r="I27" s="93" t="n"/>
      <c r="J27" s="93" t="n"/>
      <c r="K27" s="93" t="n">
        <v>7.5</v>
      </c>
      <c r="L27" s="93" t="n">
        <v>7</v>
      </c>
      <c r="M27" s="93" t="n"/>
      <c r="N27" s="93" t="n"/>
      <c r="O27" s="93" t="n"/>
      <c r="P27" s="93" t="n"/>
      <c r="Q27" s="93" t="n"/>
      <c r="R27" s="93" t="n"/>
      <c r="S27" s="93" t="n">
        <v>3</v>
      </c>
      <c r="T27" s="93" t="n"/>
      <c r="U27" s="93" t="n"/>
      <c r="V27" s="93" t="n"/>
      <c r="W27" s="93" t="n"/>
      <c r="X27" s="93" t="n"/>
      <c r="Y27" s="93" t="n"/>
      <c r="Z27" s="93" t="n"/>
      <c r="AA27" s="93" t="n"/>
      <c r="AB27" s="93" t="n"/>
      <c r="AC27" s="93" t="n"/>
      <c r="AD27" s="93" t="n"/>
      <c r="AE27" s="93" t="n"/>
      <c r="AF27" s="93" t="n"/>
      <c r="AG27" s="93" t="n"/>
      <c r="AH27" s="93" t="n"/>
      <c r="AI27" s="93" t="n"/>
      <c r="AJ27" s="93" t="n"/>
      <c r="AK27" s="93" t="n"/>
      <c r="AL27" s="93" t="n"/>
      <c r="AM27" s="93" t="n"/>
      <c r="AN27" s="93" t="n"/>
      <c r="AP27" s="94" t="n"/>
      <c r="AQ27" s="94" t="n"/>
      <c r="AR27" s="93" t="n"/>
      <c r="AS27" s="93" t="n"/>
      <c r="AT27" s="93" t="n"/>
      <c r="AU27" s="93" t="n"/>
      <c r="AV27" s="93" t="n"/>
      <c r="AW27" s="93">
        <f>IF(COUNT(C27:AU27)=0,"",COUNT(C27:AU27))</f>
        <v/>
      </c>
      <c r="AX27" s="95" t="n"/>
      <c r="AY27" s="93" t="n"/>
      <c r="AZ27" s="93" t="n"/>
      <c r="BA27" s="93" t="n"/>
      <c r="BB27" s="93" t="n"/>
      <c r="BC27" s="93" t="n"/>
      <c r="BD27" s="93" t="n"/>
      <c r="BE27" s="93" t="n"/>
      <c r="BF27" s="93" t="n"/>
      <c r="BG27" s="93" t="n"/>
      <c r="BH27" s="93" t="n"/>
      <c r="BI27" s="93" t="n"/>
      <c r="BJ27" s="93" t="n"/>
      <c r="BK27" s="93" t="n"/>
      <c r="BL27" s="93" t="n"/>
      <c r="BM27" s="93" t="n"/>
      <c r="BN27" s="93" t="n"/>
      <c r="BO27" s="93" t="n"/>
      <c r="BP27" s="93" t="n"/>
      <c r="BQ27" s="93" t="n"/>
      <c r="BR27" s="93" t="n"/>
      <c r="BS27" s="93" t="n"/>
      <c r="BT27" s="93" t="n"/>
      <c r="BU27" s="93" t="n"/>
      <c r="BV27" s="93" t="n"/>
      <c r="BW27" s="93" t="n"/>
      <c r="BX27" s="93" t="n"/>
      <c r="BY27" s="93" t="n"/>
      <c r="BZ27" s="93" t="n"/>
    </row>
    <row r="28">
      <c r="A28" s="93" t="inlineStr">
        <is>
          <t>no escape room</t>
        </is>
      </c>
      <c r="B28" s="95">
        <f>IFERROR(ROUND(AVERAGE(C28:AU28),2),"")</f>
        <v/>
      </c>
      <c r="C28" s="93" t="n">
        <v>5</v>
      </c>
      <c r="D28" s="93" t="n">
        <v>6.5</v>
      </c>
      <c r="E28" s="93" t="n">
        <v>7.5</v>
      </c>
      <c r="F28" s="93" t="n">
        <v>7</v>
      </c>
      <c r="G28" s="93" t="n">
        <v>6.5</v>
      </c>
      <c r="H28" s="93" t="n">
        <v>3</v>
      </c>
      <c r="I28" s="93" t="n"/>
      <c r="J28" s="93" t="n"/>
      <c r="K28" s="93" t="n">
        <v>6.5</v>
      </c>
      <c r="L28" s="93" t="n">
        <v>5</v>
      </c>
      <c r="M28" s="93" t="n"/>
      <c r="N28" s="93" t="n"/>
      <c r="O28" s="102" t="n"/>
      <c r="P28" s="93" t="n"/>
      <c r="Q28" s="93" t="n"/>
      <c r="R28" s="93" t="n"/>
      <c r="S28" s="93" t="n">
        <v>6</v>
      </c>
      <c r="T28" s="93" t="n"/>
      <c r="U28" s="93" t="n"/>
      <c r="V28" s="93" t="n"/>
      <c r="W28" s="93" t="n"/>
      <c r="X28" s="93" t="n"/>
      <c r="Y28" s="93" t="n"/>
      <c r="Z28" s="93" t="n"/>
      <c r="AA28" s="93" t="n"/>
      <c r="AB28" s="93" t="n"/>
      <c r="AC28" s="93" t="n"/>
      <c r="AD28" s="93" t="n"/>
      <c r="AE28" s="93" t="n"/>
      <c r="AF28" s="93" t="n"/>
      <c r="AG28" s="93" t="n"/>
      <c r="AH28" s="93" t="n"/>
      <c r="AI28" s="93" t="n"/>
      <c r="AJ28" s="93" t="n"/>
      <c r="AK28" s="93" t="n"/>
      <c r="AL28" s="93" t="n"/>
      <c r="AM28" s="93" t="n"/>
      <c r="AN28" s="93" t="n"/>
      <c r="AP28" s="94" t="n"/>
      <c r="AQ28" s="94" t="n"/>
      <c r="AR28" s="93" t="n"/>
      <c r="AS28" s="93" t="n"/>
      <c r="AT28" s="93" t="n"/>
      <c r="AU28" s="93" t="n"/>
      <c r="AV28" s="93" t="n"/>
      <c r="AW28" s="93">
        <f>IF(COUNT(C28:AU28)=0,"",COUNT(C28:AU28))</f>
        <v/>
      </c>
      <c r="AX28" s="95" t="n"/>
      <c r="AY28" s="93" t="n"/>
      <c r="AZ28" s="93" t="n"/>
      <c r="BA28" s="93" t="n"/>
      <c r="BB28" s="93" t="n"/>
      <c r="BC28" s="93" t="n"/>
      <c r="BD28" s="93" t="n"/>
      <c r="BE28" s="93" t="n"/>
      <c r="BF28" s="93" t="n"/>
      <c r="BG28" s="93" t="n"/>
      <c r="BH28" s="93" t="n"/>
      <c r="BI28" s="93" t="n"/>
      <c r="BJ28" s="93" t="n"/>
      <c r="BK28" s="93" t="n"/>
      <c r="BL28" s="93" t="n"/>
      <c r="BM28" s="93" t="n"/>
      <c r="BN28" s="93" t="n"/>
      <c r="BO28" s="93" t="n"/>
      <c r="BP28" s="93" t="n"/>
      <c r="BQ28" s="93" t="n"/>
      <c r="BR28" s="93" t="n"/>
      <c r="BS28" s="93" t="n"/>
      <c r="BT28" s="93" t="n"/>
      <c r="BU28" s="93" t="n"/>
      <c r="BV28" s="93" t="n"/>
      <c r="BW28" s="93" t="n"/>
      <c r="BX28" s="93" t="n"/>
      <c r="BY28" s="93" t="n"/>
      <c r="BZ28" s="93" t="n"/>
    </row>
    <row r="29">
      <c r="A29" s="93" t="inlineStr">
        <is>
          <t>brightburn</t>
        </is>
      </c>
      <c r="B29" s="95">
        <f>IFERROR(ROUND(AVERAGE(C29:AU29),2),"")</f>
        <v/>
      </c>
      <c r="C29" s="93" t="n">
        <v>3</v>
      </c>
      <c r="D29" s="93" t="n">
        <v>2</v>
      </c>
      <c r="E29" s="93" t="n">
        <v>3</v>
      </c>
      <c r="F29" s="93" t="n">
        <v>2.5</v>
      </c>
      <c r="G29" s="93" t="n">
        <v>3</v>
      </c>
      <c r="H29" s="93" t="n">
        <v>1</v>
      </c>
      <c r="I29" s="93" t="n"/>
      <c r="J29" s="93" t="n"/>
      <c r="K29" s="93" t="n">
        <v>3.5</v>
      </c>
      <c r="L29" s="93" t="n"/>
      <c r="M29" s="93" t="n"/>
      <c r="N29" s="93" t="n"/>
      <c r="O29" s="102" t="n"/>
      <c r="P29" s="93" t="n"/>
      <c r="Q29" s="93" t="n"/>
      <c r="R29" s="93" t="n"/>
      <c r="S29" s="93" t="n"/>
      <c r="T29" s="93" t="n"/>
      <c r="U29" s="93" t="n"/>
      <c r="V29" s="93" t="n"/>
      <c r="W29" s="93" t="n"/>
      <c r="X29" s="93" t="n"/>
      <c r="Y29" s="93" t="n"/>
      <c r="Z29" s="93" t="n"/>
      <c r="AA29" s="93" t="n"/>
      <c r="AB29" s="93" t="n"/>
      <c r="AC29" s="93" t="n"/>
      <c r="AD29" s="93" t="n"/>
      <c r="AE29" s="93" t="n"/>
      <c r="AF29" s="93" t="n"/>
      <c r="AG29" s="93" t="n"/>
      <c r="AH29" s="93" t="n"/>
      <c r="AI29" s="93" t="n"/>
      <c r="AJ29" s="93" t="n"/>
      <c r="AK29" s="93" t="n"/>
      <c r="AL29" s="93" t="n"/>
      <c r="AM29" s="93" t="n"/>
      <c r="AN29" s="93" t="n"/>
      <c r="AP29" s="94" t="n"/>
      <c r="AQ29" s="94" t="n"/>
      <c r="AR29" s="93" t="n"/>
      <c r="AS29" s="93" t="n"/>
      <c r="AT29" s="93" t="n"/>
      <c r="AU29" s="93" t="n"/>
      <c r="AV29" s="93" t="n"/>
      <c r="AW29" s="93">
        <f>IF(COUNT(C29:AU29)=0,"",COUNT(C29:AU29))</f>
        <v/>
      </c>
      <c r="AX29" s="95" t="n"/>
      <c r="AY29" s="93" t="n"/>
      <c r="AZ29" s="93" t="n"/>
      <c r="BA29" s="93" t="n"/>
      <c r="BB29" s="93" t="n"/>
      <c r="BC29" s="93" t="n"/>
      <c r="BD29" s="93" t="n"/>
      <c r="BE29" s="93" t="n"/>
      <c r="BF29" s="93" t="n"/>
      <c r="BG29" s="93" t="n"/>
      <c r="BH29" s="93" t="n"/>
      <c r="BI29" s="93" t="n"/>
      <c r="BJ29" s="93" t="n"/>
      <c r="BK29" s="93" t="n"/>
      <c r="BL29" s="93" t="n"/>
      <c r="BM29" s="93" t="n"/>
      <c r="BN29" s="93" t="n"/>
      <c r="BO29" s="93" t="n"/>
      <c r="BP29" s="93" t="n"/>
      <c r="BQ29" s="93" t="n"/>
      <c r="BR29" s="93" t="n"/>
      <c r="BS29" s="93" t="n"/>
      <c r="BT29" s="93" t="n"/>
      <c r="BU29" s="93">
        <f>MAX(AW27:AW29)</f>
        <v/>
      </c>
      <c r="BV29" s="93" t="n"/>
      <c r="BW29" s="93" t="n"/>
      <c r="BX29" s="93" t="n"/>
      <c r="BY29" s="93" t="n"/>
      <c r="BZ29" s="93" t="n"/>
    </row>
    <row r="30">
      <c r="B30" s="95">
        <f>IFERROR(ROUND(AVERAGE(C30:AU30),2),"")</f>
        <v/>
      </c>
      <c r="O30" s="103" t="n"/>
      <c r="AP30" s="96" t="n"/>
      <c r="AQ30" s="96" t="n"/>
      <c r="AW30" s="93">
        <f>IF(COUNT(C30:AU30)=0,"",COUNT(C30:AU30))</f>
        <v/>
      </c>
      <c r="AX30" s="104" t="n"/>
    </row>
    <row r="31">
      <c r="B31" s="95">
        <f>IFERROR(ROUND(AVERAGE(C31:AU31),2),"")</f>
        <v/>
      </c>
      <c r="AP31" s="96" t="n"/>
      <c r="AQ31" s="96" t="n"/>
      <c r="AW31" s="93">
        <f>IF(COUNT(C31:AU31)=0,"",COUNT(C31:AU31))</f>
        <v/>
      </c>
      <c r="AX31" s="104" t="n"/>
    </row>
    <row r="32">
      <c r="A32" s="93" t="inlineStr">
        <is>
          <t>w lesie dzis nie zasnie nikt 2</t>
        </is>
      </c>
      <c r="B32" s="95">
        <f>IFERROR(ROUND(AVERAGE(C32:AU32),2),"")</f>
        <v/>
      </c>
      <c r="C32" s="93" t="n">
        <v>9</v>
      </c>
      <c r="D32" s="93" t="n">
        <v>1</v>
      </c>
      <c r="E32" s="93" t="n">
        <v>3</v>
      </c>
      <c r="F32" s="93" t="n"/>
      <c r="G32" s="93" t="n">
        <v>2</v>
      </c>
      <c r="H32" s="93" t="n"/>
      <c r="I32" s="93" t="n"/>
      <c r="J32" s="93" t="n"/>
      <c r="K32" s="93" t="n"/>
      <c r="L32" s="93" t="n"/>
      <c r="M32" s="93" t="n"/>
      <c r="N32" s="93" t="n"/>
      <c r="O32" s="93" t="n"/>
      <c r="P32" s="93" t="n"/>
      <c r="Q32" s="93" t="n"/>
      <c r="R32" s="93" t="n"/>
      <c r="S32" s="93" t="n"/>
      <c r="T32" s="93" t="n"/>
      <c r="U32" s="93" t="n"/>
      <c r="V32" s="93" t="n"/>
      <c r="W32" s="93" t="n"/>
      <c r="X32" s="93" t="n"/>
      <c r="Y32" s="93" t="n"/>
      <c r="Z32" s="93" t="n">
        <v>5</v>
      </c>
      <c r="AA32" s="93" t="n">
        <v>5</v>
      </c>
      <c r="AB32" s="93" t="n">
        <v>5.5</v>
      </c>
      <c r="AC32" s="93" t="n">
        <v>5</v>
      </c>
      <c r="AD32" s="93" t="n">
        <v>6</v>
      </c>
      <c r="AE32" s="93" t="n"/>
      <c r="AF32" s="93" t="n">
        <v>4</v>
      </c>
      <c r="AG32" s="93" t="n"/>
      <c r="AH32" s="93" t="n"/>
      <c r="AI32" s="93" t="n"/>
      <c r="AJ32" s="93" t="n"/>
      <c r="AK32" s="93" t="n"/>
      <c r="AL32" s="93" t="n"/>
      <c r="AM32" s="93" t="n"/>
      <c r="AN32" s="93" t="n"/>
      <c r="AP32" s="94" t="n"/>
      <c r="AQ32" s="94" t="n"/>
      <c r="AR32" s="93" t="n"/>
      <c r="AS32" s="93" t="n"/>
      <c r="AT32" s="93" t="n"/>
      <c r="AU32" s="93" t="n"/>
      <c r="AV32" s="93" t="n"/>
      <c r="AW32" s="93">
        <f>IF(COUNT(C32:AU32)=0,"",COUNT(C32:AU32))</f>
        <v/>
      </c>
      <c r="AX32" s="95" t="n"/>
      <c r="AY32" s="93" t="n"/>
      <c r="AZ32" s="93" t="n"/>
      <c r="BA32" s="93" t="n"/>
      <c r="BB32" s="93" t="n"/>
      <c r="BC32" s="93" t="n"/>
      <c r="BD32" s="93" t="n"/>
      <c r="BE32" s="93" t="n"/>
      <c r="BF32" s="93" t="n"/>
      <c r="BG32" s="93" t="n"/>
      <c r="BH32" s="93" t="n"/>
      <c r="BI32" s="93" t="n"/>
      <c r="BJ32" s="93" t="n"/>
      <c r="BK32" s="93" t="n"/>
      <c r="BL32" s="93" t="n"/>
      <c r="BM32" s="93" t="n"/>
      <c r="BN32" s="93" t="n"/>
      <c r="BO32" s="93" t="n"/>
      <c r="BP32" s="93" t="n"/>
      <c r="BQ32" s="93" t="n"/>
      <c r="BR32" s="93" t="n"/>
      <c r="BS32" s="93" t="n"/>
      <c r="BT32" s="93" t="n"/>
      <c r="BU32" s="93" t="n"/>
      <c r="BV32" s="93" t="n"/>
      <c r="BW32" s="93" t="n"/>
      <c r="BX32" s="93" t="n"/>
      <c r="BY32" s="93" t="n"/>
      <c r="BZ32" s="93" t="n"/>
    </row>
    <row r="33">
      <c r="A33" s="93" t="inlineStr">
        <is>
          <t>halloween kills</t>
        </is>
      </c>
      <c r="B33" s="95">
        <f>IFERROR(ROUND(AVERAGE(C33:AU33),2),"")</f>
        <v/>
      </c>
      <c r="C33" s="93" t="n">
        <v>6</v>
      </c>
      <c r="D33" s="93" t="n">
        <v>2</v>
      </c>
      <c r="E33" s="93" t="n">
        <v>1</v>
      </c>
      <c r="F33" s="93" t="n">
        <v>3</v>
      </c>
      <c r="G33" s="93" t="n">
        <v>4</v>
      </c>
      <c r="H33" s="93" t="n">
        <v>5</v>
      </c>
      <c r="I33" s="93" t="n"/>
      <c r="J33" s="93" t="n"/>
      <c r="K33" s="93" t="n"/>
      <c r="L33" s="93" t="n"/>
      <c r="M33" s="93" t="n"/>
      <c r="N33" s="93" t="n"/>
      <c r="O33" s="93" t="n"/>
      <c r="P33" s="93" t="n"/>
      <c r="Q33" s="93" t="n"/>
      <c r="R33" s="93" t="n"/>
      <c r="S33" s="93" t="n"/>
      <c r="T33" s="93" t="n"/>
      <c r="U33" s="93" t="n"/>
      <c r="V33" s="93" t="n"/>
      <c r="W33" s="93" t="n"/>
      <c r="X33" s="93" t="n"/>
      <c r="Y33" s="93" t="n"/>
      <c r="Z33" s="93" t="n">
        <v>2.5</v>
      </c>
      <c r="AA33" s="93" t="n">
        <v>2</v>
      </c>
      <c r="AB33" s="93" t="n">
        <v>5.5</v>
      </c>
      <c r="AC33" s="93" t="n">
        <v>1</v>
      </c>
      <c r="AD33" s="93" t="n">
        <v>1.5</v>
      </c>
      <c r="AE33" s="93" t="n">
        <v>1</v>
      </c>
      <c r="AF33" s="93" t="n">
        <v>3</v>
      </c>
      <c r="AG33" s="93" t="n"/>
      <c r="AH33" s="93" t="n"/>
      <c r="AI33" s="93" t="n"/>
      <c r="AJ33" s="93" t="n"/>
      <c r="AK33" s="93" t="n"/>
      <c r="AL33" s="93" t="n"/>
      <c r="AM33" s="93" t="n"/>
      <c r="AN33" s="93" t="n"/>
      <c r="AP33" s="94" t="n"/>
      <c r="AQ33" s="94" t="n"/>
      <c r="AR33" s="93" t="n"/>
      <c r="AS33" s="93" t="n"/>
      <c r="AT33" s="93" t="n"/>
      <c r="AU33" s="93" t="n"/>
      <c r="AV33" s="93" t="n"/>
      <c r="AW33" s="93">
        <f>IF(COUNT(C33:AU33)=0,"",COUNT(C33:AU33))</f>
        <v/>
      </c>
      <c r="AX33" s="95" t="n"/>
      <c r="AY33" s="93" t="n"/>
      <c r="AZ33" s="93" t="n"/>
      <c r="BA33" s="93" t="n"/>
      <c r="BB33" s="93" t="n"/>
      <c r="BC33" s="93" t="n"/>
      <c r="BD33" s="93" t="n"/>
      <c r="BE33" s="93" t="n"/>
      <c r="BF33" s="93" t="n"/>
      <c r="BG33" s="93" t="n"/>
      <c r="BH33" s="93" t="n"/>
      <c r="BI33" s="93" t="n"/>
      <c r="BJ33" s="93" t="n"/>
      <c r="BK33" s="93" t="n"/>
      <c r="BL33" s="93" t="n"/>
      <c r="BM33" s="93" t="n"/>
      <c r="BN33" s="93" t="n"/>
      <c r="BO33" s="93" t="n"/>
      <c r="BP33" s="93" t="n"/>
      <c r="BQ33" s="93" t="n"/>
      <c r="BR33" s="93" t="n"/>
      <c r="BS33" s="93" t="n"/>
      <c r="BT33" s="93" t="n"/>
      <c r="BU33" s="93" t="n"/>
      <c r="BV33" s="93" t="n"/>
      <c r="BW33" s="93" t="n"/>
      <c r="BX33" s="93" t="n"/>
      <c r="BY33" s="93" t="n"/>
      <c r="BZ33" s="93" t="n"/>
    </row>
    <row r="34">
      <c r="A34" s="93" t="inlineStr">
        <is>
          <t>malignant</t>
        </is>
      </c>
      <c r="B34" s="95">
        <f>IFERROR(ROUND(AVERAGE(C34:AU34),2),"")</f>
        <v/>
      </c>
      <c r="C34" s="93" t="n">
        <v>7</v>
      </c>
      <c r="D34" s="93" t="n">
        <v>7</v>
      </c>
      <c r="E34" s="93" t="n">
        <v>6.5</v>
      </c>
      <c r="F34" s="93" t="n">
        <v>7</v>
      </c>
      <c r="G34" s="93" t="n">
        <v>6</v>
      </c>
      <c r="H34" s="93" t="n">
        <v>6.5</v>
      </c>
      <c r="I34" s="93" t="n"/>
      <c r="J34" s="93" t="n"/>
      <c r="K34" s="93" t="n"/>
      <c r="L34" s="93" t="n"/>
      <c r="M34" s="93" t="n"/>
      <c r="N34" s="93" t="n"/>
      <c r="O34" s="93" t="n"/>
      <c r="P34" s="93" t="n"/>
      <c r="Q34" s="93" t="n"/>
      <c r="R34" s="93" t="n"/>
      <c r="S34" s="93" t="n"/>
      <c r="T34" s="93" t="n"/>
      <c r="U34" s="93" t="n"/>
      <c r="V34" s="93" t="n"/>
      <c r="W34" s="93" t="n"/>
      <c r="X34" s="93" t="n"/>
      <c r="Y34" s="93" t="n"/>
      <c r="Z34" s="93" t="n"/>
      <c r="AA34" s="93" t="n"/>
      <c r="AB34" s="93" t="n"/>
      <c r="AC34" s="93" t="n"/>
      <c r="AD34" s="93" t="n"/>
      <c r="AE34" s="93" t="n"/>
      <c r="AF34" s="93" t="n"/>
      <c r="AG34" s="93" t="n"/>
      <c r="AH34" s="93" t="n"/>
      <c r="AI34" s="93" t="n"/>
      <c r="AJ34" s="93" t="n"/>
      <c r="AK34" s="93" t="n"/>
      <c r="AL34" s="93" t="n"/>
      <c r="AM34" s="93" t="n"/>
      <c r="AN34" s="93" t="n"/>
      <c r="AP34" s="94" t="n"/>
      <c r="AQ34" s="94" t="n"/>
      <c r="AR34" s="93" t="n"/>
      <c r="AS34" s="93" t="n"/>
      <c r="AT34" s="93" t="n"/>
      <c r="AU34" s="93" t="n"/>
      <c r="AV34" s="93" t="n"/>
      <c r="AW34" s="93">
        <f>IF(COUNT(C34:AU34)=0,"",COUNT(C34:AU34))</f>
        <v/>
      </c>
      <c r="AX34" s="95" t="n"/>
      <c r="AY34" s="93" t="n"/>
      <c r="AZ34" s="93" t="n"/>
      <c r="BA34" s="93" t="n"/>
      <c r="BB34" s="93" t="n"/>
      <c r="BC34" s="93" t="n"/>
      <c r="BD34" s="93" t="n"/>
      <c r="BE34" s="93" t="n"/>
      <c r="BF34" s="93" t="n"/>
      <c r="BG34" s="93" t="n"/>
      <c r="BH34" s="93" t="n"/>
      <c r="BI34" s="93" t="n"/>
      <c r="BJ34" s="93" t="n"/>
      <c r="BK34" s="93" t="n"/>
      <c r="BL34" s="93" t="n"/>
      <c r="BM34" s="93" t="n"/>
      <c r="BN34" s="93" t="n"/>
      <c r="BO34" s="93" t="n"/>
      <c r="BP34" s="93" t="n"/>
      <c r="BQ34" s="93" t="n"/>
      <c r="BR34" s="93" t="n"/>
      <c r="BS34" s="93" t="n"/>
      <c r="BT34" s="93" t="n"/>
      <c r="BU34" s="93">
        <f>MAX(AW32:AW34)</f>
        <v/>
      </c>
      <c r="BV34" s="93" t="n"/>
      <c r="BW34" s="93" t="n"/>
      <c r="BX34" s="93" t="n"/>
      <c r="BY34" s="93" t="n"/>
      <c r="BZ34" s="93" t="n"/>
    </row>
    <row r="35">
      <c r="B35" s="95">
        <f>IFERROR(ROUND(AVERAGE(C35:AU35),2),"")</f>
        <v/>
      </c>
      <c r="AP35" s="96" t="n"/>
      <c r="AQ35" s="96" t="n"/>
      <c r="AW35" s="93">
        <f>IF(COUNT(C35:AU35)=0,"",COUNT(C35:AU35))</f>
        <v/>
      </c>
      <c r="AX35" s="104" t="n"/>
    </row>
    <row r="36">
      <c r="B36" s="95">
        <f>IFERROR(ROUND(AVERAGE(C36:AU36),2),"")</f>
        <v/>
      </c>
      <c r="AP36" s="96" t="n"/>
      <c r="AQ36" s="96" t="n"/>
      <c r="AW36" s="93">
        <f>IF(COUNT(C36:AU36)=0,"",COUNT(C36:AU36))</f>
        <v/>
      </c>
      <c r="AX36" s="104" t="n"/>
    </row>
    <row r="37">
      <c r="A37" s="93" t="inlineStr">
        <is>
          <t>resident evil remake</t>
        </is>
      </c>
      <c r="B37" s="95">
        <f>IFERROR(ROUND(AVERAGE(C37:AU37),2),"")</f>
        <v/>
      </c>
      <c r="C37" s="93" t="n">
        <v>6</v>
      </c>
      <c r="D37" s="93" t="n">
        <v>5</v>
      </c>
      <c r="E37" s="93" t="n">
        <v>5</v>
      </c>
      <c r="F37" s="93" t="n"/>
      <c r="G37" s="93" t="n">
        <v>6.5</v>
      </c>
      <c r="H37" s="93" t="n"/>
      <c r="I37" s="93" t="n"/>
      <c r="J37" s="93" t="n">
        <v>4</v>
      </c>
      <c r="K37" s="93" t="n"/>
      <c r="L37" s="93" t="n"/>
      <c r="M37" s="93" t="n">
        <v>4</v>
      </c>
      <c r="N37" s="93" t="n"/>
      <c r="O37" s="93" t="n"/>
      <c r="P37" s="93" t="n"/>
      <c r="Q37" s="93" t="n">
        <v>2</v>
      </c>
      <c r="R37" s="93" t="n"/>
      <c r="S37" s="93" t="n"/>
      <c r="T37" s="93" t="n"/>
      <c r="U37" s="93" t="n"/>
      <c r="V37" s="93" t="n"/>
      <c r="W37" s="93" t="n"/>
      <c r="X37" s="93" t="n"/>
      <c r="Y37" s="93" t="n"/>
      <c r="Z37" s="93" t="n"/>
      <c r="AA37" s="93" t="n"/>
      <c r="AB37" s="93" t="n"/>
      <c r="AC37" s="93" t="n"/>
      <c r="AD37" s="93" t="n"/>
      <c r="AE37" s="93" t="n"/>
      <c r="AF37" s="93" t="n"/>
      <c r="AG37" s="93" t="n"/>
      <c r="AH37" s="93" t="n"/>
      <c r="AI37" s="93" t="n"/>
      <c r="AJ37" s="93" t="n"/>
      <c r="AK37" s="93" t="n"/>
      <c r="AL37" s="93" t="n"/>
      <c r="AM37" s="93" t="n"/>
      <c r="AN37" s="93" t="n"/>
      <c r="AP37" s="94" t="n"/>
      <c r="AQ37" s="94" t="n"/>
      <c r="AR37" s="93" t="n"/>
      <c r="AS37" s="93" t="n"/>
      <c r="AT37" s="93" t="n"/>
      <c r="AU37" s="93" t="n"/>
      <c r="AV37" s="93" t="n"/>
      <c r="AW37" s="93">
        <f>IF(COUNT(C37:AU37)=0,"",COUNT(C37:AU37))</f>
        <v/>
      </c>
      <c r="AX37" s="95" t="n"/>
      <c r="AY37" s="93" t="n"/>
      <c r="AZ37" s="93" t="n"/>
      <c r="BA37" s="93" t="n"/>
      <c r="BB37" s="93" t="n"/>
      <c r="BC37" s="93" t="n"/>
      <c r="BD37" s="93" t="n"/>
      <c r="BE37" s="93" t="n"/>
      <c r="BF37" s="93" t="n"/>
      <c r="BG37" s="93" t="n"/>
      <c r="BH37" s="93" t="n"/>
      <c r="BI37" s="93" t="n"/>
      <c r="BJ37" s="93" t="n"/>
      <c r="BK37" s="93" t="n"/>
      <c r="BL37" s="93" t="n"/>
      <c r="BM37" s="93" t="n"/>
      <c r="BN37" s="93" t="n"/>
      <c r="BO37" s="93" t="n"/>
      <c r="BP37" s="93" t="n"/>
      <c r="BQ37" s="93" t="n"/>
      <c r="BR37" s="93" t="n"/>
      <c r="BS37" s="93" t="n"/>
      <c r="BT37" s="93" t="n"/>
      <c r="BU37" s="93" t="n"/>
      <c r="BV37" s="93" t="n"/>
      <c r="BW37" s="93" t="n"/>
      <c r="BX37" s="93" t="n"/>
      <c r="BY37" s="93" t="n"/>
      <c r="BZ37" s="93" t="n"/>
    </row>
    <row r="38">
      <c r="A38" s="93" t="inlineStr">
        <is>
          <t>krampus</t>
        </is>
      </c>
      <c r="B38" s="95">
        <f>IFERROR(ROUND(AVERAGE(C38:AU38),2),"")</f>
        <v/>
      </c>
      <c r="C38" s="93" t="n">
        <v>8</v>
      </c>
      <c r="D38" s="93" t="n">
        <v>5</v>
      </c>
      <c r="E38" s="93" t="n">
        <v>3</v>
      </c>
      <c r="F38" s="93" t="n">
        <v>5</v>
      </c>
      <c r="G38" s="93" t="n">
        <v>5</v>
      </c>
      <c r="H38" s="93" t="n"/>
      <c r="I38" s="93" t="n"/>
      <c r="J38" s="93" t="n">
        <v>7</v>
      </c>
      <c r="K38" s="93" t="n"/>
      <c r="L38" s="93" t="n"/>
      <c r="M38" s="93" t="n">
        <v>7</v>
      </c>
      <c r="N38" s="93" t="n"/>
      <c r="O38" s="93" t="n"/>
      <c r="P38" s="93" t="n"/>
      <c r="Q38" s="93" t="n"/>
      <c r="R38" s="93" t="n"/>
      <c r="S38" s="93" t="n"/>
      <c r="T38" s="93" t="n"/>
      <c r="U38" s="93" t="n"/>
      <c r="V38" s="93" t="n"/>
      <c r="W38" s="93" t="n"/>
      <c r="X38" s="93" t="n"/>
      <c r="Y38" s="93" t="n"/>
      <c r="Z38" s="93" t="n"/>
      <c r="AA38" s="93" t="n"/>
      <c r="AB38" s="93" t="n"/>
      <c r="AC38" s="93" t="n"/>
      <c r="AD38" s="93" t="n"/>
      <c r="AE38" s="93" t="n"/>
      <c r="AF38" s="93" t="n"/>
      <c r="AG38" s="93" t="n">
        <v>3</v>
      </c>
      <c r="AH38" s="93" t="n">
        <v>3</v>
      </c>
      <c r="AI38" s="93" t="n"/>
      <c r="AJ38" s="93" t="n"/>
      <c r="AK38" s="93" t="n"/>
      <c r="AL38" s="93" t="n"/>
      <c r="AM38" s="93" t="n"/>
      <c r="AN38" s="93" t="n"/>
      <c r="AP38" s="94" t="n"/>
      <c r="AQ38" s="94" t="n"/>
      <c r="AR38" s="93" t="n"/>
      <c r="AS38" s="93" t="n"/>
      <c r="AT38" s="93" t="n"/>
      <c r="AU38" s="93" t="n"/>
      <c r="AV38" s="93" t="n"/>
      <c r="AW38" s="93">
        <f>IF(COUNT(C38:AU38)=0,"",COUNT(C38:AU38))</f>
        <v/>
      </c>
      <c r="AX38" s="95" t="n"/>
      <c r="AY38" s="93" t="n"/>
      <c r="AZ38" s="93" t="n"/>
      <c r="BA38" s="93" t="n"/>
      <c r="BB38" s="93" t="n"/>
      <c r="BC38" s="93" t="n"/>
      <c r="BD38" s="93" t="n"/>
      <c r="BE38" s="93" t="n"/>
      <c r="BF38" s="93" t="n"/>
      <c r="BG38" s="93" t="n"/>
      <c r="BH38" s="93" t="n"/>
      <c r="BI38" s="93" t="n"/>
      <c r="BJ38" s="93" t="n"/>
      <c r="BK38" s="93" t="n"/>
      <c r="BL38" s="93" t="n"/>
      <c r="BM38" s="93" t="n"/>
      <c r="BN38" s="93" t="n"/>
      <c r="BO38" s="93" t="n"/>
      <c r="BP38" s="93" t="n"/>
      <c r="BQ38" s="93" t="n"/>
      <c r="BR38" s="93" t="n"/>
      <c r="BS38" s="93" t="n"/>
      <c r="BT38" s="93" t="n"/>
      <c r="BU38" s="93" t="n"/>
      <c r="BV38" s="93" t="n"/>
      <c r="BW38" s="93" t="n"/>
      <c r="BX38" s="93" t="n"/>
      <c r="BY38" s="93" t="n"/>
      <c r="BZ38" s="93" t="n"/>
    </row>
    <row r="39">
      <c r="A39" s="93" t="inlineStr">
        <is>
          <t>blackbox</t>
        </is>
      </c>
      <c r="B39" s="95">
        <f>IFERROR(ROUND(AVERAGE(C39:AU39),2),"")</f>
        <v/>
      </c>
      <c r="C39" s="93" t="n">
        <v>6</v>
      </c>
      <c r="D39" s="93" t="n">
        <v>4</v>
      </c>
      <c r="E39" s="93" t="n">
        <v>4</v>
      </c>
      <c r="F39" s="93" t="n"/>
      <c r="G39" s="93" t="n">
        <v>8</v>
      </c>
      <c r="H39" s="93" t="n"/>
      <c r="I39" s="93" t="n"/>
      <c r="J39" s="93" t="n"/>
      <c r="K39" s="93" t="n"/>
      <c r="L39" s="93" t="n"/>
      <c r="M39" s="93" t="n">
        <v>8</v>
      </c>
      <c r="N39" s="93" t="n"/>
      <c r="O39" s="93" t="n"/>
      <c r="P39" s="93" t="n"/>
      <c r="Q39" s="93" t="n"/>
      <c r="R39" s="93" t="n"/>
      <c r="S39" s="93" t="n"/>
      <c r="T39" s="93" t="n"/>
      <c r="U39" s="93" t="n"/>
      <c r="V39" s="93" t="n"/>
      <c r="W39" s="93" t="n"/>
      <c r="X39" s="93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  <c r="AH39" s="93" t="n"/>
      <c r="AI39" s="93" t="n"/>
      <c r="AJ39" s="93" t="n"/>
      <c r="AK39" s="93" t="n"/>
      <c r="AL39" s="93" t="n"/>
      <c r="AM39" s="93" t="n"/>
      <c r="AN39" s="93" t="n"/>
      <c r="AP39" s="94" t="n"/>
      <c r="AQ39" s="94" t="n"/>
      <c r="AR39" s="93" t="n"/>
      <c r="AS39" s="93" t="n"/>
      <c r="AT39" s="93" t="n"/>
      <c r="AU39" s="93" t="n"/>
      <c r="AV39" s="93" t="n"/>
      <c r="AW39" s="93">
        <f>IF(COUNT(C39:AU39)=0,"",COUNT(C39:AU39))</f>
        <v/>
      </c>
      <c r="AX39" s="95" t="n"/>
      <c r="AY39" s="93" t="n"/>
      <c r="AZ39" s="93" t="n"/>
      <c r="BA39" s="93" t="n"/>
      <c r="BB39" s="93" t="n"/>
      <c r="BC39" s="93" t="n"/>
      <c r="BD39" s="93" t="n"/>
      <c r="BE39" s="93" t="n"/>
      <c r="BF39" s="93" t="n"/>
      <c r="BG39" s="93" t="n"/>
      <c r="BH39" s="93" t="n"/>
      <c r="BI39" s="93" t="n"/>
      <c r="BJ39" s="93" t="n"/>
      <c r="BK39" s="93" t="n"/>
      <c r="BL39" s="93" t="n"/>
      <c r="BM39" s="93" t="n"/>
      <c r="BN39" s="93" t="n"/>
      <c r="BO39" s="93" t="n"/>
      <c r="BP39" s="93" t="n"/>
      <c r="BQ39" s="93" t="n"/>
      <c r="BR39" s="93" t="n"/>
      <c r="BS39" s="93" t="n"/>
      <c r="BT39" s="93" t="n"/>
      <c r="BU39" s="93">
        <f>MAX(AW37:AW39)</f>
        <v/>
      </c>
      <c r="BV39" s="93" t="n"/>
      <c r="BW39" s="93" t="n"/>
      <c r="BX39" s="93" t="n"/>
      <c r="BY39" s="93" t="n"/>
      <c r="BZ39" s="93" t="n"/>
    </row>
    <row r="40">
      <c r="B40" s="95">
        <f>IFERROR(ROUND(AVERAGE(C40:AU40),2),"")</f>
        <v/>
      </c>
      <c r="AP40" s="96" t="n"/>
      <c r="AQ40" s="96" t="n"/>
      <c r="AW40" s="93">
        <f>IF(COUNT(C40:AU40)=0,"",COUNT(C40:AU40))</f>
        <v/>
      </c>
      <c r="AX40" s="104" t="n"/>
    </row>
    <row r="41">
      <c r="A41" s="93" t="inlineStr">
        <is>
          <t>cube</t>
        </is>
      </c>
      <c r="B41" s="95">
        <f>IFERROR(ROUND(AVERAGE(C41:AU41),2),"")</f>
        <v/>
      </c>
      <c r="C41" s="93" t="n">
        <v>9</v>
      </c>
      <c r="D41" s="93" t="n">
        <v>6</v>
      </c>
      <c r="E41" s="93" t="n">
        <v>7</v>
      </c>
      <c r="F41" s="93" t="n">
        <v>7</v>
      </c>
      <c r="G41" s="93" t="n">
        <v>7</v>
      </c>
      <c r="H41" s="93" t="n">
        <v>8</v>
      </c>
      <c r="I41" s="93" t="n"/>
      <c r="J41" s="93" t="n">
        <v>9</v>
      </c>
      <c r="K41" s="93" t="n"/>
      <c r="L41" s="93" t="n"/>
      <c r="M41" s="93" t="n">
        <v>7</v>
      </c>
      <c r="N41" s="93" t="n"/>
      <c r="O41" s="93" t="n"/>
      <c r="P41" s="93" t="n"/>
      <c r="Q41" s="93" t="n"/>
      <c r="R41" s="93" t="n"/>
      <c r="S41" s="93" t="n"/>
      <c r="T41" s="93" t="n"/>
      <c r="U41" s="93" t="n">
        <v>6</v>
      </c>
      <c r="V41" s="93" t="n"/>
      <c r="W41" s="93" t="n"/>
      <c r="X41" s="93" t="n"/>
      <c r="Y41" s="93" t="n"/>
      <c r="Z41" s="93" t="n"/>
      <c r="AA41" s="93" t="n"/>
      <c r="AB41" s="93" t="n"/>
      <c r="AC41" s="93" t="n"/>
      <c r="AD41" s="93" t="n"/>
      <c r="AE41" s="93" t="n"/>
      <c r="AF41" s="93" t="n"/>
      <c r="AG41" s="93" t="n"/>
      <c r="AH41" s="93" t="n"/>
      <c r="AI41" s="93" t="n"/>
      <c r="AJ41" s="93" t="n"/>
      <c r="AK41" s="93" t="n"/>
      <c r="AL41" s="93" t="n"/>
      <c r="AM41" s="93" t="n"/>
      <c r="AN41" s="93" t="n"/>
      <c r="AP41" s="94" t="n"/>
      <c r="AQ41" s="94" t="n"/>
      <c r="AR41" s="93" t="n"/>
      <c r="AS41" s="93" t="n"/>
      <c r="AT41" s="93" t="n"/>
      <c r="AU41" s="93" t="n"/>
      <c r="AV41" s="93" t="n"/>
      <c r="AW41" s="93">
        <f>IF(COUNT(C41:AU41)=0,"",COUNT(C41:AU41))</f>
        <v/>
      </c>
      <c r="AX41" s="95" t="n"/>
      <c r="AY41" s="93" t="n"/>
      <c r="AZ41" s="93" t="n"/>
      <c r="BA41" s="93" t="n"/>
      <c r="BB41" s="93" t="n"/>
      <c r="BC41" s="93" t="n"/>
      <c r="BD41" s="93" t="n"/>
      <c r="BE41" s="93" t="n"/>
      <c r="BF41" s="93" t="n"/>
      <c r="BG41" s="93" t="n"/>
      <c r="BH41" s="93" t="n"/>
      <c r="BI41" s="93" t="n"/>
      <c r="BJ41" s="93" t="n"/>
      <c r="BK41" s="93" t="n"/>
      <c r="BL41" s="93" t="n"/>
      <c r="BM41" s="93" t="n"/>
      <c r="BN41" s="93" t="n"/>
      <c r="BO41" s="93" t="n"/>
      <c r="BP41" s="93" t="n"/>
      <c r="BQ41" s="93" t="n"/>
      <c r="BR41" s="93" t="n"/>
      <c r="BS41" s="93" t="n"/>
      <c r="BT41" s="93" t="n"/>
      <c r="BU41" s="93" t="n"/>
      <c r="BV41" s="93" t="n"/>
      <c r="BW41" s="93" t="n"/>
      <c r="BX41" s="93" t="n"/>
      <c r="BY41" s="93" t="n"/>
      <c r="BZ41" s="93" t="n"/>
    </row>
    <row r="42">
      <c r="A42" s="93" t="inlineStr">
        <is>
          <t>cube 2</t>
        </is>
      </c>
      <c r="B42" s="95">
        <f>IFERROR(ROUND(AVERAGE(C42:AU42),2),"")</f>
        <v/>
      </c>
      <c r="C42" s="93" t="n">
        <v>5</v>
      </c>
      <c r="D42" s="93" t="n">
        <v>3</v>
      </c>
      <c r="E42" s="93" t="n">
        <v>1</v>
      </c>
      <c r="F42" s="93" t="n">
        <v>2</v>
      </c>
      <c r="G42" s="93" t="n">
        <v>5</v>
      </c>
      <c r="H42" s="93" t="n">
        <v>1.5</v>
      </c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  <c r="R42" s="93" t="n"/>
      <c r="S42" s="93" t="n"/>
      <c r="T42" s="93" t="n"/>
      <c r="U42" s="93" t="n"/>
      <c r="V42" s="93" t="n"/>
      <c r="W42" s="93" t="n"/>
      <c r="X42" s="93" t="n"/>
      <c r="Y42" s="93" t="n"/>
      <c r="Z42" s="93" t="n"/>
      <c r="AA42" s="93" t="n"/>
      <c r="AB42" s="93" t="n"/>
      <c r="AC42" s="93" t="n"/>
      <c r="AD42" s="93" t="n"/>
      <c r="AE42" s="93" t="n"/>
      <c r="AF42" s="93" t="n"/>
      <c r="AG42" s="93" t="n"/>
      <c r="AH42" s="93" t="n"/>
      <c r="AI42" s="93" t="n"/>
      <c r="AJ42" s="93" t="n"/>
      <c r="AK42" s="93" t="n"/>
      <c r="AL42" s="93" t="n"/>
      <c r="AM42" s="93" t="n"/>
      <c r="AN42" s="93" t="n"/>
      <c r="AP42" s="94" t="n"/>
      <c r="AQ42" s="94" t="n"/>
      <c r="AR42" s="93" t="n"/>
      <c r="AS42" s="93" t="n"/>
      <c r="AT42" s="93" t="n"/>
      <c r="AU42" s="93" t="n"/>
      <c r="AV42" s="93" t="n"/>
      <c r="AW42" s="93">
        <f>IF(COUNT(C42:AU42)=0,"",COUNT(C42:AU42))</f>
        <v/>
      </c>
      <c r="AX42" s="95" t="n"/>
      <c r="AY42" s="93" t="n"/>
      <c r="AZ42" s="93" t="n"/>
      <c r="BA42" s="93" t="n"/>
      <c r="BB42" s="93" t="n"/>
      <c r="BC42" s="93" t="n"/>
      <c r="BD42" s="93" t="n"/>
      <c r="BE42" s="93" t="n"/>
      <c r="BF42" s="93" t="n"/>
      <c r="BG42" s="93" t="n"/>
      <c r="BH42" s="93" t="n"/>
      <c r="BI42" s="93" t="n"/>
      <c r="BJ42" s="93" t="n"/>
      <c r="BK42" s="93" t="n"/>
      <c r="BL42" s="93" t="n"/>
      <c r="BM42" s="93" t="n"/>
      <c r="BN42" s="93" t="n"/>
      <c r="BO42" s="93" t="n"/>
      <c r="BP42" s="93" t="n"/>
      <c r="BQ42" s="93" t="n"/>
      <c r="BR42" s="93" t="n"/>
      <c r="BS42" s="93" t="n"/>
      <c r="BT42" s="93" t="n"/>
      <c r="BU42" s="93" t="n"/>
      <c r="BV42" s="93" t="n"/>
      <c r="BW42" s="93" t="n"/>
      <c r="BX42" s="93" t="n"/>
      <c r="BY42" s="93" t="n"/>
      <c r="BZ42" s="93" t="n"/>
    </row>
    <row r="43">
      <c r="A43" s="93" t="inlineStr">
        <is>
          <t>cube 3</t>
        </is>
      </c>
      <c r="B43" s="95">
        <f>IFERROR(ROUND(AVERAGE(C43:AU43),2),"")</f>
        <v/>
      </c>
      <c r="C43" s="93" t="n">
        <v>6</v>
      </c>
      <c r="D43" s="93" t="n">
        <v>7</v>
      </c>
      <c r="E43" s="93" t="n">
        <v>1</v>
      </c>
      <c r="F43" s="93" t="n">
        <v>6</v>
      </c>
      <c r="G43" s="93" t="n">
        <v>5</v>
      </c>
      <c r="H43" s="93" t="n">
        <v>3</v>
      </c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  <c r="R43" s="93" t="n"/>
      <c r="S43" s="93" t="n"/>
      <c r="T43" s="93" t="n"/>
      <c r="U43" s="93" t="n"/>
      <c r="V43" s="93" t="n"/>
      <c r="W43" s="93" t="n"/>
      <c r="X43" s="93" t="n"/>
      <c r="Y43" s="93" t="n"/>
      <c r="Z43" s="93" t="n"/>
      <c r="AA43" s="93" t="n"/>
      <c r="AB43" s="93" t="n"/>
      <c r="AC43" s="93" t="n"/>
      <c r="AD43" s="93" t="n"/>
      <c r="AE43" s="93" t="n"/>
      <c r="AF43" s="93" t="n"/>
      <c r="AG43" s="93" t="n"/>
      <c r="AH43" s="93" t="n"/>
      <c r="AI43" s="93" t="n"/>
      <c r="AJ43" s="93" t="n"/>
      <c r="AK43" s="93" t="n"/>
      <c r="AL43" s="93" t="n"/>
      <c r="AM43" s="93" t="n"/>
      <c r="AN43" s="93" t="n"/>
      <c r="AP43" s="94" t="n"/>
      <c r="AQ43" s="94" t="n"/>
      <c r="AR43" s="93" t="n"/>
      <c r="AS43" s="93" t="n"/>
      <c r="AT43" s="93" t="n"/>
      <c r="AU43" s="93" t="n"/>
      <c r="AV43" s="93" t="n"/>
      <c r="AW43" s="93">
        <f>IF(COUNT(C43:AU43)=0,"",COUNT(C43:AU43))</f>
        <v/>
      </c>
      <c r="AX43" s="95" t="n"/>
      <c r="AY43" s="93" t="n"/>
      <c r="AZ43" s="93" t="n"/>
      <c r="BA43" s="93" t="n"/>
      <c r="BB43" s="93" t="n"/>
      <c r="BC43" s="93" t="n"/>
      <c r="BD43" s="93" t="n"/>
      <c r="BE43" s="93" t="n"/>
      <c r="BF43" s="93" t="n"/>
      <c r="BG43" s="93" t="n"/>
      <c r="BH43" s="93" t="n"/>
      <c r="BI43" s="93" t="n"/>
      <c r="BJ43" s="93" t="n"/>
      <c r="BK43" s="93" t="n"/>
      <c r="BL43" s="93" t="n"/>
      <c r="BM43" s="93" t="n"/>
      <c r="BN43" s="93" t="n"/>
      <c r="BO43" s="93" t="n"/>
      <c r="BP43" s="93" t="n"/>
      <c r="BQ43" s="93" t="n"/>
      <c r="BR43" s="93" t="n"/>
      <c r="BS43" s="93" t="n"/>
      <c r="BT43" s="93" t="n"/>
      <c r="BU43" s="93">
        <f>MAX(AW41:AW43)</f>
        <v/>
      </c>
      <c r="BV43" s="93" t="n"/>
      <c r="BW43" s="93" t="n"/>
      <c r="BX43" s="93" t="n"/>
      <c r="BY43" s="93" t="n"/>
      <c r="BZ43" s="93" t="n"/>
    </row>
    <row r="44">
      <c r="B44" s="95">
        <f>IFERROR(ROUND(AVERAGE(C44:AU44),2),"")</f>
        <v/>
      </c>
      <c r="V44" s="107" t="inlineStr">
        <is>
          <t xml:space="preserve"> </t>
        </is>
      </c>
      <c r="AP44" s="96" t="n"/>
      <c r="AQ44" s="96" t="n"/>
      <c r="AW44" s="93">
        <f>IF(COUNT(C44:AU44)=0,"",COUNT(C44:AU44))</f>
        <v/>
      </c>
      <c r="AX44" s="104" t="n"/>
    </row>
    <row r="45">
      <c r="B45" s="104">
        <f>IFERROR(ROUND(AVERAGE(C45:AU45),2),"")</f>
        <v/>
      </c>
      <c r="AP45" s="96" t="n"/>
      <c r="AQ45" s="96" t="n"/>
      <c r="AW45" s="93">
        <f>IF(COUNT(C45:AU45)=0,"",COUNT(C45:AU45))</f>
        <v/>
      </c>
      <c r="AX45" s="104" t="n"/>
    </row>
    <row r="46">
      <c r="A46" s="93" t="inlineStr">
        <is>
          <t>haunt</t>
        </is>
      </c>
      <c r="B46" s="95">
        <f>IFERROR(ROUND(AVERAGE(C46:AU46),2),"")</f>
        <v/>
      </c>
      <c r="C46" s="93" t="n">
        <v>4</v>
      </c>
      <c r="D46" s="93" t="n">
        <v>8</v>
      </c>
      <c r="E46" s="93" t="n">
        <v>8</v>
      </c>
      <c r="F46" s="93" t="n">
        <v>7</v>
      </c>
      <c r="G46" s="93" t="n"/>
      <c r="H46" s="93" t="n"/>
      <c r="I46" s="93" t="n"/>
      <c r="J46" s="93" t="n">
        <v>7</v>
      </c>
      <c r="K46" s="93" t="n"/>
      <c r="L46" s="93" t="n">
        <v>6.5</v>
      </c>
      <c r="M46" s="93" t="n"/>
      <c r="N46" s="93" t="n"/>
      <c r="O46" s="93" t="n"/>
      <c r="P46" s="93" t="n"/>
      <c r="Q46" s="93" t="n"/>
      <c r="R46" s="93" t="n"/>
      <c r="S46" s="93" t="n"/>
      <c r="T46" s="93" t="n"/>
      <c r="U46" s="93" t="n"/>
      <c r="V46" s="93" t="n"/>
      <c r="W46" s="93" t="n"/>
      <c r="X46" s="93" t="n"/>
      <c r="Y46" s="93" t="n"/>
      <c r="Z46" s="93" t="n"/>
      <c r="AA46" s="93" t="n"/>
      <c r="AB46" s="93" t="n">
        <v>8</v>
      </c>
      <c r="AC46" s="93" t="n"/>
      <c r="AD46" s="93" t="n"/>
      <c r="AE46" s="93" t="n">
        <v>7</v>
      </c>
      <c r="AF46" s="93" t="n"/>
      <c r="AG46" s="93" t="n"/>
      <c r="AH46" s="93" t="n"/>
      <c r="AI46" s="93" t="n"/>
      <c r="AJ46" s="93" t="n"/>
      <c r="AK46" s="93" t="n"/>
      <c r="AL46" s="93" t="n"/>
      <c r="AM46" s="93" t="n"/>
      <c r="AN46" s="93" t="n"/>
      <c r="AP46" s="94" t="n"/>
      <c r="AQ46" s="94" t="n"/>
      <c r="AR46" s="93" t="n"/>
      <c r="AS46" s="93" t="n"/>
      <c r="AT46" s="93" t="n"/>
      <c r="AU46" s="93" t="n"/>
      <c r="AV46" s="93" t="n"/>
      <c r="AW46" s="93">
        <f>IF(COUNT(C46:AU46)=0,"",COUNT(C46:AU46))</f>
        <v/>
      </c>
      <c r="AX46" s="95" t="n"/>
      <c r="AY46" s="93" t="n"/>
      <c r="AZ46" s="93" t="n"/>
      <c r="BA46" s="93" t="n"/>
      <c r="BB46" s="93" t="n"/>
      <c r="BC46" s="93" t="n"/>
      <c r="BD46" s="93" t="n"/>
      <c r="BE46" s="93" t="n"/>
      <c r="BF46" s="93" t="n"/>
      <c r="BG46" s="93" t="n"/>
      <c r="BH46" s="93" t="n"/>
      <c r="BI46" s="93" t="n"/>
      <c r="BJ46" s="93" t="n"/>
      <c r="BK46" s="93" t="n"/>
      <c r="BL46" s="93" t="n"/>
      <c r="BM46" s="93" t="n"/>
      <c r="BN46" s="93" t="n"/>
      <c r="BO46" s="93" t="n"/>
      <c r="BP46" s="93" t="n"/>
      <c r="BQ46" s="93" t="n"/>
      <c r="BR46" s="93" t="n"/>
      <c r="BS46" s="93" t="n"/>
      <c r="BT46" s="93" t="n"/>
      <c r="BU46" s="93" t="n"/>
      <c r="BV46" s="93" t="n"/>
      <c r="BW46" s="93" t="n"/>
      <c r="BX46" s="93" t="n"/>
      <c r="BY46" s="93" t="n"/>
      <c r="BZ46" s="93" t="n"/>
    </row>
    <row r="47">
      <c r="A47" s="93" t="inlineStr">
        <is>
          <t>antlers</t>
        </is>
      </c>
      <c r="B47" s="95">
        <f>IFERROR(ROUND(AVERAGE(C47:AU47),2),"")</f>
        <v/>
      </c>
      <c r="C47" s="93" t="n">
        <v>8</v>
      </c>
      <c r="D47" s="93" t="n">
        <v>4</v>
      </c>
      <c r="E47" s="93" t="n">
        <v>5.5</v>
      </c>
      <c r="F47" s="93" t="n">
        <v>5</v>
      </c>
      <c r="G47" s="93" t="n"/>
      <c r="H47" s="93" t="n"/>
      <c r="I47" s="93" t="n">
        <v>3.5</v>
      </c>
      <c r="J47" s="93" t="n">
        <v>4</v>
      </c>
      <c r="K47" s="93" t="n"/>
      <c r="L47" s="93" t="n">
        <v>3</v>
      </c>
      <c r="M47" s="93" t="n">
        <v>7</v>
      </c>
      <c r="N47" s="93" t="n"/>
      <c r="O47" s="93" t="n"/>
      <c r="P47" s="93" t="n"/>
      <c r="Q47" s="93" t="n"/>
      <c r="R47" s="93" t="n"/>
      <c r="S47" s="93" t="n"/>
      <c r="T47" s="93" t="n"/>
      <c r="U47" s="93" t="n"/>
      <c r="V47" s="93" t="n"/>
      <c r="W47" s="93" t="n"/>
      <c r="X47" s="93" t="n"/>
      <c r="Y47" s="93" t="n"/>
      <c r="Z47" s="93" t="n"/>
      <c r="AA47" s="93" t="n"/>
      <c r="AB47" s="93" t="n">
        <v>8</v>
      </c>
      <c r="AC47" s="93" t="n"/>
      <c r="AD47" s="93" t="n"/>
      <c r="AE47" s="93" t="n"/>
      <c r="AF47" s="93" t="n"/>
      <c r="AG47" s="93" t="n"/>
      <c r="AH47" s="93" t="n"/>
      <c r="AI47" s="93" t="n"/>
      <c r="AJ47" s="93" t="n"/>
      <c r="AK47" s="93" t="n"/>
      <c r="AL47" s="93" t="n"/>
      <c r="AM47" s="93" t="n"/>
      <c r="AN47" s="93" t="n"/>
      <c r="AP47" s="94" t="n"/>
      <c r="AQ47" s="94" t="n"/>
      <c r="AR47" s="93" t="n"/>
      <c r="AS47" s="93" t="n"/>
      <c r="AT47" s="93" t="n"/>
      <c r="AU47" s="93" t="n"/>
      <c r="AV47" s="93" t="n"/>
      <c r="AW47" s="93">
        <f>IF(COUNT(C47:AU47)=0,"",COUNT(C47:AU47))</f>
        <v/>
      </c>
      <c r="AX47" s="95" t="n"/>
      <c r="AY47" s="93" t="n"/>
      <c r="AZ47" s="93" t="n"/>
      <c r="BA47" s="93" t="n"/>
      <c r="BB47" s="93" t="n"/>
      <c r="BC47" s="93" t="n"/>
      <c r="BD47" s="93" t="n"/>
      <c r="BE47" s="93" t="n"/>
      <c r="BF47" s="93" t="n"/>
      <c r="BG47" s="93" t="n"/>
      <c r="BH47" s="93" t="n"/>
      <c r="BI47" s="93" t="n"/>
      <c r="BJ47" s="93" t="n"/>
      <c r="BK47" s="93" t="n"/>
      <c r="BL47" s="93" t="n"/>
      <c r="BM47" s="93" t="n"/>
      <c r="BN47" s="93" t="n"/>
      <c r="BO47" s="93" t="n"/>
      <c r="BP47" s="93" t="n"/>
      <c r="BQ47" s="93" t="n"/>
      <c r="BR47" s="93" t="n"/>
      <c r="BS47" s="93" t="n"/>
      <c r="BT47" s="93" t="n"/>
      <c r="BU47" s="93" t="n"/>
      <c r="BV47" s="93" t="n"/>
      <c r="BW47" s="93" t="n"/>
      <c r="BX47" s="93" t="n"/>
      <c r="BY47" s="93" t="n"/>
      <c r="BZ47" s="93" t="n"/>
    </row>
    <row r="48">
      <c r="A48" s="93" t="inlineStr">
        <is>
          <t>terrified</t>
        </is>
      </c>
      <c r="B48" s="95">
        <f>IFERROR(ROUND(AVERAGE(C48:AU48),2),"")</f>
        <v/>
      </c>
      <c r="C48" s="93" t="n">
        <v>9</v>
      </c>
      <c r="D48" s="93" t="n">
        <v>9</v>
      </c>
      <c r="E48" s="93" t="n">
        <v>10</v>
      </c>
      <c r="F48" s="93" t="n">
        <v>9</v>
      </c>
      <c r="G48" s="93" t="n"/>
      <c r="H48" s="93" t="n"/>
      <c r="I48" s="93" t="n">
        <v>7</v>
      </c>
      <c r="J48" s="93" t="n">
        <v>8</v>
      </c>
      <c r="K48" s="93" t="n"/>
      <c r="L48" s="93" t="n"/>
      <c r="M48" s="93" t="n"/>
      <c r="N48" s="93" t="n"/>
      <c r="O48" s="93" t="n"/>
      <c r="P48" s="93" t="n"/>
      <c r="Q48" s="93" t="n"/>
      <c r="R48" s="93" t="n"/>
      <c r="S48" s="93" t="n"/>
      <c r="T48" s="93" t="n"/>
      <c r="U48" s="93" t="n"/>
      <c r="V48" s="93" t="n"/>
      <c r="W48" s="93" t="n"/>
      <c r="X48" s="93" t="n"/>
      <c r="Y48" s="93" t="n"/>
      <c r="Z48" s="93" t="n"/>
      <c r="AA48" s="93" t="n"/>
      <c r="AB48" s="93" t="n"/>
      <c r="AC48" s="93" t="n"/>
      <c r="AD48" s="93" t="n"/>
      <c r="AE48" s="93" t="n"/>
      <c r="AF48" s="93" t="n"/>
      <c r="AG48" s="93" t="n"/>
      <c r="AH48" s="93" t="n"/>
      <c r="AI48" s="93" t="n"/>
      <c r="AJ48" s="93" t="n"/>
      <c r="AK48" s="93" t="n"/>
      <c r="AL48" s="93" t="n"/>
      <c r="AM48" s="93" t="n"/>
      <c r="AN48" s="93" t="n"/>
      <c r="AP48" s="94" t="n"/>
      <c r="AQ48" s="94" t="n"/>
      <c r="AR48" s="93" t="n"/>
      <c r="AS48" s="93" t="n"/>
      <c r="AT48" s="93" t="n"/>
      <c r="AU48" s="93" t="n"/>
      <c r="AV48" s="93" t="n"/>
      <c r="AW48" s="93">
        <f>IF(COUNT(C48:AU48)=0,"",COUNT(C48:AU48))</f>
        <v/>
      </c>
      <c r="AX48" s="95" t="n"/>
      <c r="AY48" s="93" t="n"/>
      <c r="AZ48" s="93" t="n"/>
      <c r="BA48" s="93" t="n"/>
      <c r="BB48" s="93" t="n"/>
      <c r="BC48" s="93" t="n"/>
      <c r="BD48" s="93" t="n"/>
      <c r="BE48" s="93" t="n"/>
      <c r="BF48" s="93" t="n"/>
      <c r="BG48" s="93" t="n"/>
      <c r="BH48" s="93" t="n"/>
      <c r="BI48" s="93" t="n"/>
      <c r="BJ48" s="93" t="n"/>
      <c r="BK48" s="93" t="n"/>
      <c r="BL48" s="93" t="n"/>
      <c r="BM48" s="93" t="n"/>
      <c r="BN48" s="93" t="n"/>
      <c r="BO48" s="93" t="n"/>
      <c r="BP48" s="93" t="n"/>
      <c r="BQ48" s="93" t="n"/>
      <c r="BR48" s="93" t="n"/>
      <c r="BS48" s="93" t="n"/>
      <c r="BT48" s="93" t="n"/>
      <c r="BU48" s="93">
        <f>MAX(AW46:AW48)</f>
        <v/>
      </c>
      <c r="BV48" s="93" t="n"/>
      <c r="BW48" s="93" t="n"/>
      <c r="BX48" s="93" t="n"/>
      <c r="BY48" s="93" t="n"/>
      <c r="BZ48" s="93" t="n"/>
    </row>
    <row r="49">
      <c r="B49" s="104" t="n"/>
      <c r="AP49" s="96" t="n"/>
      <c r="AQ49" s="96" t="n"/>
      <c r="AW49" s="93">
        <f>IF(COUNT(C49:AU49)=0,"",COUNT(C49:AU49))</f>
        <v/>
      </c>
      <c r="AX49" s="104" t="n"/>
    </row>
    <row r="50">
      <c r="B50" s="95">
        <f>IFERROR(ROUND(AVERAGE(C50:AU50),2),"")</f>
        <v/>
      </c>
      <c r="AP50" s="96" t="n"/>
      <c r="AQ50" s="96" t="n"/>
      <c r="AW50" s="93">
        <f>IF(COUNT(C50:AU50)=0,"",COUNT(C50:AU50))</f>
        <v/>
      </c>
      <c r="AX50" s="104" t="n"/>
    </row>
    <row r="51">
      <c r="A51" s="93" t="inlineStr">
        <is>
          <t>the lamb</t>
        </is>
      </c>
      <c r="B51" s="95">
        <f>IFERROR(ROUND(AVERAGE(C51:AU51),2),"")</f>
        <v/>
      </c>
      <c r="C51" s="93" t="n">
        <v>4</v>
      </c>
      <c r="D51" s="93" t="n">
        <v>1.5</v>
      </c>
      <c r="E51" s="93" t="n">
        <v>1</v>
      </c>
      <c r="F51" s="93" t="n">
        <v>3</v>
      </c>
      <c r="G51" s="93" t="n">
        <v>3</v>
      </c>
      <c r="H51" s="93" t="n">
        <v>3</v>
      </c>
      <c r="I51" s="93" t="n">
        <v>2</v>
      </c>
      <c r="J51" s="93" t="n">
        <v>10</v>
      </c>
      <c r="K51" s="93" t="n">
        <v>6</v>
      </c>
      <c r="L51" s="93" t="n"/>
      <c r="M51" s="93" t="n"/>
      <c r="N51" s="93" t="n"/>
      <c r="O51" s="93" t="n"/>
      <c r="P51" s="93" t="n"/>
      <c r="Q51" s="93" t="n"/>
      <c r="R51" s="93" t="n"/>
      <c r="S51" s="93" t="n"/>
      <c r="T51" s="93" t="n"/>
      <c r="U51" s="93" t="n"/>
      <c r="V51" s="93" t="n"/>
      <c r="W51" s="93" t="n"/>
      <c r="X51" s="93" t="n"/>
      <c r="Y51" s="93" t="n"/>
      <c r="Z51" s="93" t="n"/>
      <c r="AA51" s="93" t="n"/>
      <c r="AB51" s="93" t="n"/>
      <c r="AC51" s="93" t="n"/>
      <c r="AD51" s="93" t="n"/>
      <c r="AE51" s="93" t="n"/>
      <c r="AF51" s="93" t="n"/>
      <c r="AG51" s="93" t="n"/>
      <c r="AH51" s="93" t="n"/>
      <c r="AI51" s="93" t="n"/>
      <c r="AJ51" s="93" t="n"/>
      <c r="AK51" s="93" t="n"/>
      <c r="AL51" s="93" t="n"/>
      <c r="AM51" s="93" t="n"/>
      <c r="AN51" s="93" t="n"/>
      <c r="AP51" s="94" t="n"/>
      <c r="AQ51" s="94" t="n"/>
      <c r="AR51" s="93" t="n"/>
      <c r="AS51" s="93" t="n"/>
      <c r="AT51" s="93" t="n"/>
      <c r="AU51" s="93" t="n"/>
      <c r="AV51" s="93" t="n"/>
      <c r="AW51" s="93">
        <f>IF(COUNT(C51:AU51)=0,"",COUNT(C51:AU51))</f>
        <v/>
      </c>
      <c r="AX51" s="95" t="n"/>
      <c r="AY51" s="93" t="n"/>
      <c r="AZ51" s="93" t="n"/>
      <c r="BA51" s="93" t="n"/>
      <c r="BB51" s="93" t="n"/>
      <c r="BC51" s="93" t="n"/>
      <c r="BD51" s="93" t="n"/>
      <c r="BE51" s="93" t="n"/>
      <c r="BF51" s="93" t="n"/>
      <c r="BG51" s="93" t="n"/>
      <c r="BH51" s="93" t="n"/>
      <c r="BI51" s="93" t="n"/>
      <c r="BJ51" s="93" t="n"/>
      <c r="BK51" s="93" t="n"/>
      <c r="BL51" s="93" t="n"/>
      <c r="BM51" s="93" t="n"/>
      <c r="BN51" s="93" t="n"/>
      <c r="BO51" s="93" t="n"/>
      <c r="BP51" s="93" t="n"/>
      <c r="BQ51" s="93" t="n"/>
      <c r="BR51" s="93" t="n"/>
      <c r="BS51" s="93" t="n"/>
      <c r="BT51" s="93" t="n"/>
      <c r="BU51" s="93" t="n"/>
      <c r="BV51" s="93" t="n"/>
      <c r="BW51" s="93" t="n"/>
      <c r="BX51" s="93" t="n"/>
      <c r="BY51" s="93" t="n"/>
      <c r="BZ51" s="93" t="n"/>
    </row>
    <row r="52">
      <c r="A52" s="93" t="inlineStr">
        <is>
          <t>escape room aka followe me</t>
        </is>
      </c>
      <c r="B52" s="95">
        <f>IFERROR(ROUND(AVERAGE(C52:AU52),2),"")</f>
        <v/>
      </c>
      <c r="C52" s="93" t="n">
        <v>4</v>
      </c>
      <c r="D52" s="93" t="n">
        <v>5.5</v>
      </c>
      <c r="E52" s="93" t="n">
        <v>10</v>
      </c>
      <c r="F52" s="93" t="n">
        <v>7</v>
      </c>
      <c r="G52" s="93" t="n">
        <v>4</v>
      </c>
      <c r="H52" s="93" t="n">
        <v>6</v>
      </c>
      <c r="I52" s="93" t="n">
        <v>6.5</v>
      </c>
      <c r="J52" s="93" t="n">
        <v>6</v>
      </c>
      <c r="K52" s="93" t="n">
        <v>5</v>
      </c>
      <c r="L52" s="93" t="n"/>
      <c r="M52" s="93" t="n"/>
      <c r="N52" s="93" t="n">
        <v>5</v>
      </c>
      <c r="O52" s="93" t="n"/>
      <c r="P52" s="93" t="n"/>
      <c r="Q52" s="93" t="n"/>
      <c r="R52" s="93" t="n"/>
      <c r="S52" s="93" t="n"/>
      <c r="T52" s="93" t="n"/>
      <c r="U52" s="93" t="n"/>
      <c r="V52" s="93" t="n"/>
      <c r="W52" s="93" t="n"/>
      <c r="X52" s="93" t="n"/>
      <c r="Y52" s="93" t="n"/>
      <c r="Z52" s="93" t="n"/>
      <c r="AA52" s="93" t="n"/>
      <c r="AB52" s="93" t="n"/>
      <c r="AC52" s="93" t="n"/>
      <c r="AD52" s="93" t="n"/>
      <c r="AE52" s="93" t="n"/>
      <c r="AF52" s="93" t="n"/>
      <c r="AG52" s="93" t="n"/>
      <c r="AH52" s="93" t="n"/>
      <c r="AI52" s="93" t="n"/>
      <c r="AJ52" s="93" t="n"/>
      <c r="AK52" s="93" t="n"/>
      <c r="AL52" s="93" t="n"/>
      <c r="AM52" s="93" t="n"/>
      <c r="AN52" s="93" t="n"/>
      <c r="AP52" s="94" t="n"/>
      <c r="AQ52" s="94" t="n"/>
      <c r="AR52" s="93" t="n"/>
      <c r="AS52" s="93" t="n"/>
      <c r="AT52" s="93" t="n"/>
      <c r="AU52" s="93" t="n"/>
      <c r="AV52" s="93" t="n"/>
      <c r="AW52" s="93">
        <f>IF(COUNT(C52:AU52)=0,"",COUNT(C52:AU52))</f>
        <v/>
      </c>
      <c r="AX52" s="95" t="n"/>
      <c r="AY52" s="93" t="n"/>
      <c r="AZ52" s="93" t="n"/>
      <c r="BA52" s="93" t="n"/>
      <c r="BB52" s="93" t="n"/>
      <c r="BC52" s="93" t="n"/>
      <c r="BD52" s="93" t="n"/>
      <c r="BE52" s="93" t="n"/>
      <c r="BF52" s="93" t="n"/>
      <c r="BG52" s="93" t="n"/>
      <c r="BH52" s="93" t="n"/>
      <c r="BI52" s="93" t="n"/>
      <c r="BJ52" s="93" t="n"/>
      <c r="BK52" s="93" t="n"/>
      <c r="BL52" s="93" t="n"/>
      <c r="BM52" s="93" t="n"/>
      <c r="BN52" s="93" t="n"/>
      <c r="BO52" s="93" t="n"/>
      <c r="BP52" s="93" t="n"/>
      <c r="BQ52" s="93" t="n"/>
      <c r="BR52" s="93" t="n"/>
      <c r="BS52" s="93" t="n"/>
      <c r="BT52" s="93" t="n"/>
      <c r="BU52" s="93" t="n"/>
      <c r="BV52" s="93" t="n"/>
      <c r="BW52" s="93" t="n"/>
      <c r="BX52" s="93" t="n"/>
      <c r="BY52" s="93" t="n"/>
      <c r="BZ52" s="93" t="n"/>
    </row>
    <row r="53">
      <c r="A53" s="93" t="inlineStr">
        <is>
          <t>gonijam haunted asylum</t>
        </is>
      </c>
      <c r="B53" s="95">
        <f>IFERROR(ROUND(AVERAGE(C53:AU53),2),"")</f>
        <v/>
      </c>
      <c r="C53" s="93" t="n">
        <v>3</v>
      </c>
      <c r="D53" s="93" t="n">
        <v>3</v>
      </c>
      <c r="E53" s="93" t="n">
        <v>6</v>
      </c>
      <c r="F53" s="93" t="n">
        <v>4</v>
      </c>
      <c r="G53" s="93" t="n">
        <v>2</v>
      </c>
      <c r="H53" s="93" t="n">
        <v>2</v>
      </c>
      <c r="I53" s="93" t="n">
        <v>4</v>
      </c>
      <c r="J53" s="93" t="n">
        <v>1</v>
      </c>
      <c r="K53" s="93" t="n">
        <v>3</v>
      </c>
      <c r="L53" s="93" t="n"/>
      <c r="M53" s="93" t="n"/>
      <c r="N53" s="93" t="n">
        <v>4.5</v>
      </c>
      <c r="O53" s="93" t="n"/>
      <c r="P53" s="93" t="n"/>
      <c r="Q53" s="93" t="n"/>
      <c r="R53" s="93" t="n"/>
      <c r="S53" s="93" t="n"/>
      <c r="T53" s="93" t="n"/>
      <c r="U53" s="93" t="n"/>
      <c r="V53" s="93" t="n"/>
      <c r="W53" s="93" t="n"/>
      <c r="X53" s="93" t="n"/>
      <c r="Y53" s="93" t="n"/>
      <c r="Z53" s="93" t="n"/>
      <c r="AA53" s="93" t="n"/>
      <c r="AB53" s="93" t="n"/>
      <c r="AC53" s="93" t="n"/>
      <c r="AD53" s="93" t="n"/>
      <c r="AE53" s="93" t="n"/>
      <c r="AF53" s="93" t="n"/>
      <c r="AG53" s="93" t="n"/>
      <c r="AH53" s="93" t="n"/>
      <c r="AI53" s="93" t="n"/>
      <c r="AJ53" s="93" t="n"/>
      <c r="AK53" s="93" t="n"/>
      <c r="AL53" s="93" t="n"/>
      <c r="AM53" s="93" t="n"/>
      <c r="AN53" s="93" t="n"/>
      <c r="AP53" s="94" t="n"/>
      <c r="AQ53" s="94" t="n"/>
      <c r="AR53" s="93" t="n"/>
      <c r="AS53" s="93" t="n"/>
      <c r="AT53" s="93" t="n"/>
      <c r="AU53" s="93" t="n"/>
      <c r="AV53" s="93" t="n"/>
      <c r="AW53" s="93">
        <f>IF(COUNT(C53:AU53)=0,"",COUNT(C53:AU53))</f>
        <v/>
      </c>
      <c r="AX53" s="95" t="n"/>
      <c r="AY53" s="93" t="n"/>
      <c r="AZ53" s="93" t="n"/>
      <c r="BA53" s="93" t="n"/>
      <c r="BB53" s="93" t="n"/>
      <c r="BC53" s="93" t="n"/>
      <c r="BD53" s="93" t="n"/>
      <c r="BE53" s="93" t="n"/>
      <c r="BF53" s="93" t="n"/>
      <c r="BG53" s="93" t="n"/>
      <c r="BH53" s="93" t="n"/>
      <c r="BI53" s="93" t="n"/>
      <c r="BJ53" s="93" t="n"/>
      <c r="BK53" s="93" t="n"/>
      <c r="BL53" s="93" t="n"/>
      <c r="BM53" s="93" t="n"/>
      <c r="BN53" s="93" t="n"/>
      <c r="BO53" s="93" t="n"/>
      <c r="BP53" s="93" t="n"/>
      <c r="BQ53" s="93" t="n"/>
      <c r="BR53" s="93" t="n"/>
      <c r="BS53" s="93" t="n"/>
      <c r="BT53" s="93" t="n"/>
      <c r="BU53" s="93" t="n"/>
      <c r="BV53" s="93" t="n"/>
      <c r="BW53" s="93" t="n"/>
      <c r="BX53" s="93" t="n"/>
      <c r="BY53" s="93" t="n"/>
      <c r="BZ53" s="93" t="n"/>
    </row>
    <row r="54">
      <c r="A54" s="93" t="inlineStr">
        <is>
          <t>get out</t>
        </is>
      </c>
      <c r="B54" s="95">
        <f>IFERROR(ROUND(AVERAGE(C54:AU54),2),"")</f>
        <v/>
      </c>
      <c r="C54" s="93" t="n">
        <v>9</v>
      </c>
      <c r="D54" s="93" t="n">
        <v>6.5</v>
      </c>
      <c r="E54" s="93" t="n">
        <v>6</v>
      </c>
      <c r="F54" s="93" t="n">
        <v>6</v>
      </c>
      <c r="G54" s="93" t="n">
        <v>8</v>
      </c>
      <c r="H54" s="93" t="n">
        <v>10</v>
      </c>
      <c r="I54" s="93" t="n">
        <v>7.5</v>
      </c>
      <c r="J54" s="93" t="n">
        <v>10</v>
      </c>
      <c r="K54" s="93" t="n"/>
      <c r="L54" s="93" t="n"/>
      <c r="M54" s="93" t="n"/>
      <c r="N54" s="93" t="n">
        <v>8.5</v>
      </c>
      <c r="O54" s="93" t="n"/>
      <c r="P54" s="93" t="n"/>
      <c r="Q54" s="93" t="n"/>
      <c r="R54" s="93" t="n"/>
      <c r="S54" s="93" t="n"/>
      <c r="T54" s="93" t="n"/>
      <c r="U54" s="93" t="n"/>
      <c r="V54" s="93" t="n"/>
      <c r="W54" s="93" t="n"/>
      <c r="X54" s="93" t="n"/>
      <c r="Y54" s="93" t="n"/>
      <c r="Z54" s="93" t="n"/>
      <c r="AA54" s="93" t="n"/>
      <c r="AB54" s="93" t="n"/>
      <c r="AC54" s="93" t="n"/>
      <c r="AD54" s="93" t="n"/>
      <c r="AE54" s="93" t="n"/>
      <c r="AF54" s="93" t="n"/>
      <c r="AG54" s="93" t="n"/>
      <c r="AH54" s="93" t="n"/>
      <c r="AI54" s="93" t="n"/>
      <c r="AJ54" s="93" t="n"/>
      <c r="AK54" s="93" t="n"/>
      <c r="AL54" s="93" t="n"/>
      <c r="AM54" s="93" t="n"/>
      <c r="AN54" s="93" t="n"/>
      <c r="AP54" s="94" t="n"/>
      <c r="AQ54" s="94" t="n"/>
      <c r="AR54" s="93" t="n"/>
      <c r="AS54" s="93" t="n"/>
      <c r="AT54" s="93" t="n"/>
      <c r="AU54" s="93" t="n"/>
      <c r="AV54" s="93" t="n"/>
      <c r="AW54" s="93">
        <f>IF(COUNT(C54:AU54)=0,"",COUNT(C54:AU54))</f>
        <v/>
      </c>
      <c r="AX54" s="95" t="n"/>
      <c r="AY54" s="93" t="n"/>
      <c r="AZ54" s="93" t="n"/>
      <c r="BA54" s="93" t="n"/>
      <c r="BB54" s="93" t="n"/>
      <c r="BC54" s="93" t="n"/>
      <c r="BD54" s="93" t="n"/>
      <c r="BE54" s="93" t="n"/>
      <c r="BF54" s="93" t="n"/>
      <c r="BG54" s="93" t="n"/>
      <c r="BH54" s="93" t="n"/>
      <c r="BI54" s="93" t="n"/>
      <c r="BJ54" s="93" t="n"/>
      <c r="BK54" s="93" t="n"/>
      <c r="BL54" s="93" t="n"/>
      <c r="BM54" s="93" t="n"/>
      <c r="BN54" s="93" t="n"/>
      <c r="BO54" s="93" t="n"/>
      <c r="BP54" s="93" t="n"/>
      <c r="BQ54" s="93" t="n"/>
      <c r="BR54" s="93" t="n"/>
      <c r="BS54" s="93" t="n"/>
      <c r="BT54" s="93" t="n"/>
      <c r="BU54" s="93">
        <f>MAX(AW52:AW54)</f>
        <v/>
      </c>
      <c r="BV54" s="93" t="n"/>
      <c r="BW54" s="93" t="n"/>
      <c r="BX54" s="93" t="n"/>
      <c r="BY54" s="93" t="n"/>
      <c r="BZ54" s="93" t="n"/>
    </row>
    <row r="55">
      <c r="B55" s="104" t="n"/>
      <c r="AP55" s="96" t="n"/>
      <c r="AQ55" s="96" t="n"/>
      <c r="AW55" s="93">
        <f>IF(COUNT(C55:AU55)=0,"",COUNT(C55:AU55))</f>
        <v/>
      </c>
      <c r="AX55" s="104" t="n"/>
    </row>
    <row r="56">
      <c r="B56" s="95">
        <f>IFERROR(ROUND(AVERAGE(C56:AU56),2),"")</f>
        <v/>
      </c>
      <c r="AP56" s="96" t="n"/>
      <c r="AQ56" s="96" t="n"/>
      <c r="AW56" s="93">
        <f>IF(COUNT(C56:AU56)=0,"",COUNT(C56:AU56))</f>
        <v/>
      </c>
      <c r="AX56" s="104" t="n"/>
    </row>
    <row r="57">
      <c r="A57" s="93" t="inlineStr">
        <is>
          <t>grudge</t>
        </is>
      </c>
      <c r="B57" s="95">
        <f>IFERROR(ROUND(AVERAGE(C57:AU57),2),"")</f>
        <v/>
      </c>
      <c r="C57" s="93" t="n">
        <v>8</v>
      </c>
      <c r="D57" s="93" t="n">
        <v>6</v>
      </c>
      <c r="E57" s="93" t="n">
        <v>7</v>
      </c>
      <c r="F57" s="93" t="n">
        <v>6</v>
      </c>
      <c r="G57" s="93" t="n"/>
      <c r="H57" s="93" t="n">
        <v>5</v>
      </c>
      <c r="I57" s="93" t="n"/>
      <c r="J57" s="93" t="n"/>
      <c r="K57" s="93" t="n">
        <v>7</v>
      </c>
      <c r="L57" s="93" t="n"/>
      <c r="M57" s="93" t="n"/>
      <c r="N57" s="93" t="n"/>
      <c r="O57" s="93" t="n"/>
      <c r="P57" s="93" t="n"/>
      <c r="Q57" s="93" t="n"/>
      <c r="R57" s="93" t="n"/>
      <c r="S57" s="93" t="n"/>
      <c r="T57" s="93" t="n"/>
      <c r="U57" s="93" t="n"/>
      <c r="V57" s="93" t="n"/>
      <c r="W57" s="93" t="n"/>
      <c r="X57" s="93" t="n"/>
      <c r="Y57" s="93" t="n"/>
      <c r="Z57" s="93" t="n"/>
      <c r="AA57" s="93" t="n"/>
      <c r="AB57" s="93" t="n"/>
      <c r="AC57" s="93" t="n"/>
      <c r="AD57" s="93" t="n"/>
      <c r="AE57" s="93" t="n"/>
      <c r="AF57" s="93" t="n"/>
      <c r="AG57" s="93" t="n"/>
      <c r="AH57" s="93" t="n"/>
      <c r="AI57" s="93" t="n"/>
      <c r="AJ57" s="93" t="n"/>
      <c r="AK57" s="93" t="n"/>
      <c r="AL57" s="93" t="n"/>
      <c r="AM57" s="93" t="n"/>
      <c r="AN57" s="93" t="n"/>
      <c r="AP57" s="94" t="n"/>
      <c r="AQ57" s="94" t="n"/>
      <c r="AR57" s="93" t="n"/>
      <c r="AS57" s="93" t="n"/>
      <c r="AT57" s="93" t="n"/>
      <c r="AU57" s="93" t="n"/>
      <c r="AV57" s="93" t="n"/>
      <c r="AW57" s="93">
        <f>IF(COUNT(C57:AU57)=0,"",COUNT(C57:AU57))</f>
        <v/>
      </c>
      <c r="AX57" s="95" t="n"/>
      <c r="AY57" s="93" t="n"/>
      <c r="AZ57" s="93" t="n"/>
      <c r="BA57" s="93" t="n"/>
      <c r="BB57" s="93" t="n"/>
      <c r="BC57" s="93" t="n"/>
      <c r="BD57" s="93" t="n"/>
      <c r="BE57" s="93" t="n"/>
      <c r="BF57" s="93" t="n"/>
      <c r="BG57" s="93" t="n"/>
      <c r="BH57" s="93" t="n"/>
      <c r="BI57" s="93" t="n"/>
      <c r="BJ57" s="93" t="n"/>
      <c r="BK57" s="93" t="n"/>
      <c r="BL57" s="93" t="n"/>
      <c r="BM57" s="93" t="n"/>
      <c r="BN57" s="93" t="n"/>
      <c r="BO57" s="93" t="n"/>
      <c r="BP57" s="93" t="n"/>
      <c r="BQ57" s="93" t="n"/>
      <c r="BR57" s="93" t="n"/>
      <c r="BS57" s="93" t="n"/>
      <c r="BT57" s="93" t="n"/>
      <c r="BU57" s="93" t="n"/>
      <c r="BV57" s="93" t="n"/>
      <c r="BW57" s="93" t="n"/>
      <c r="BX57" s="93" t="n"/>
      <c r="BY57" s="93" t="n"/>
      <c r="BZ57" s="93" t="n"/>
    </row>
    <row r="58">
      <c r="A58" s="93" t="inlineStr">
        <is>
          <t>us</t>
        </is>
      </c>
      <c r="B58" s="95">
        <f>IFERROR(ROUND(AVERAGE(C58:AU58),2),"")</f>
        <v/>
      </c>
      <c r="C58" s="93" t="n">
        <v>7</v>
      </c>
      <c r="D58" s="93" t="n">
        <v>4</v>
      </c>
      <c r="E58" s="93" t="n">
        <v>8</v>
      </c>
      <c r="F58" s="93" t="n">
        <v>7</v>
      </c>
      <c r="G58" s="93" t="n">
        <v>4</v>
      </c>
      <c r="H58" s="93" t="n">
        <v>7</v>
      </c>
      <c r="I58" s="93" t="n"/>
      <c r="J58" s="93" t="n"/>
      <c r="K58" s="93" t="n">
        <v>8</v>
      </c>
      <c r="L58" s="93" t="n"/>
      <c r="M58" s="93" t="n"/>
      <c r="N58" s="93" t="n"/>
      <c r="O58" s="93" t="n"/>
      <c r="P58" s="93" t="n"/>
      <c r="Q58" s="93" t="n"/>
      <c r="R58" s="93" t="n"/>
      <c r="S58" s="93" t="n"/>
      <c r="T58" s="93" t="n"/>
      <c r="U58" s="93" t="n"/>
      <c r="V58" s="93" t="n"/>
      <c r="W58" s="93" t="n"/>
      <c r="X58" s="93" t="n"/>
      <c r="Y58" s="93" t="n"/>
      <c r="Z58" s="93" t="n"/>
      <c r="AA58" s="93" t="n"/>
      <c r="AB58" s="93" t="n"/>
      <c r="AC58" s="93" t="n"/>
      <c r="AD58" s="93" t="n"/>
      <c r="AE58" s="93" t="n"/>
      <c r="AF58" s="93" t="n"/>
      <c r="AG58" s="93" t="n"/>
      <c r="AH58" s="93" t="n"/>
      <c r="AI58" s="93" t="n"/>
      <c r="AJ58" s="93" t="n"/>
      <c r="AK58" s="93" t="n"/>
      <c r="AL58" s="93" t="n"/>
      <c r="AM58" s="93" t="n"/>
      <c r="AN58" s="93" t="n"/>
      <c r="AP58" s="94" t="n"/>
      <c r="AQ58" s="94" t="n"/>
      <c r="AR58" s="93" t="n"/>
      <c r="AS58" s="93" t="n"/>
      <c r="AT58" s="93" t="n"/>
      <c r="AU58" s="93" t="n"/>
      <c r="AV58" s="93" t="n"/>
      <c r="AW58" s="93">
        <f>IF(COUNT(C58:AU58)=0,"",COUNT(C58:AU58))</f>
        <v/>
      </c>
      <c r="AX58" s="95" t="n"/>
      <c r="AY58" s="93" t="n"/>
      <c r="AZ58" s="93" t="n"/>
      <c r="BA58" s="93" t="n"/>
      <c r="BB58" s="93" t="n"/>
      <c r="BC58" s="93" t="n"/>
      <c r="BD58" s="93" t="n"/>
      <c r="BE58" s="93" t="n"/>
      <c r="BF58" s="93" t="n"/>
      <c r="BG58" s="93" t="n"/>
      <c r="BH58" s="93" t="n"/>
      <c r="BI58" s="93" t="n"/>
      <c r="BJ58" s="93" t="n"/>
      <c r="BK58" s="93" t="n"/>
      <c r="BL58" s="93" t="n"/>
      <c r="BM58" s="93" t="n"/>
      <c r="BN58" s="93" t="n"/>
      <c r="BO58" s="93" t="n"/>
      <c r="BP58" s="93" t="n"/>
      <c r="BQ58" s="93" t="n"/>
      <c r="BR58" s="93" t="n"/>
      <c r="BS58" s="93" t="n"/>
      <c r="BT58" s="93" t="n"/>
      <c r="BU58" s="93" t="n"/>
      <c r="BV58" s="93" t="n"/>
      <c r="BW58" s="93" t="n"/>
      <c r="BX58" s="93" t="n"/>
      <c r="BY58" s="93" t="n"/>
      <c r="BZ58" s="93" t="n"/>
    </row>
    <row r="59">
      <c r="A59" s="93" t="inlineStr">
        <is>
          <t>mom and dad</t>
        </is>
      </c>
      <c r="B59" s="95">
        <f>IFERROR(ROUND(AVERAGE(C59:AU59),2),"")</f>
        <v/>
      </c>
      <c r="C59" s="93" t="n">
        <v>9</v>
      </c>
      <c r="D59" s="93" t="n">
        <v>3</v>
      </c>
      <c r="E59" s="93" t="n"/>
      <c r="F59" s="93" t="n">
        <v>2</v>
      </c>
      <c r="G59" s="93" t="n">
        <v>3</v>
      </c>
      <c r="H59" s="93" t="n">
        <v>4</v>
      </c>
      <c r="I59" s="93" t="n"/>
      <c r="J59" s="93" t="n"/>
      <c r="K59" s="93" t="n">
        <v>8</v>
      </c>
      <c r="L59" s="93" t="n"/>
      <c r="M59" s="93" t="n"/>
      <c r="N59" s="93" t="n"/>
      <c r="O59" s="93" t="n"/>
      <c r="P59" s="93" t="n"/>
      <c r="Q59" s="93" t="n"/>
      <c r="R59" s="93" t="n"/>
      <c r="S59" s="93" t="n"/>
      <c r="T59" s="93" t="n"/>
      <c r="U59" s="93" t="n"/>
      <c r="V59" s="93" t="n"/>
      <c r="W59" s="93" t="n"/>
      <c r="X59" s="93" t="n"/>
      <c r="Y59" s="93" t="n"/>
      <c r="Z59" s="93" t="n"/>
      <c r="AA59" s="93" t="n"/>
      <c r="AB59" s="93" t="n"/>
      <c r="AC59" s="93" t="n"/>
      <c r="AD59" s="93" t="n"/>
      <c r="AE59" s="93" t="n"/>
      <c r="AF59" s="93" t="n"/>
      <c r="AG59" s="93" t="n"/>
      <c r="AH59" s="93" t="n"/>
      <c r="AI59" s="93" t="n"/>
      <c r="AJ59" s="93" t="n"/>
      <c r="AK59" s="93" t="n"/>
      <c r="AL59" s="93" t="n"/>
      <c r="AM59" s="93" t="n"/>
      <c r="AN59" s="93" t="n"/>
      <c r="AP59" s="94" t="n"/>
      <c r="AQ59" s="94" t="n"/>
      <c r="AR59" s="93" t="n"/>
      <c r="AS59" s="93" t="n"/>
      <c r="AT59" s="93" t="n"/>
      <c r="AU59" s="93" t="n"/>
      <c r="AV59" s="93" t="n"/>
      <c r="AW59" s="93">
        <f>IF(COUNT(C59:AU59)=0,"",COUNT(C59:AU59))</f>
        <v/>
      </c>
      <c r="AX59" s="95" t="n"/>
      <c r="AY59" s="93" t="n"/>
      <c r="AZ59" s="93" t="n"/>
      <c r="BA59" s="93" t="n"/>
      <c r="BB59" s="93" t="n"/>
      <c r="BC59" s="93" t="n"/>
      <c r="BD59" s="93" t="n"/>
      <c r="BE59" s="93" t="n"/>
      <c r="BF59" s="93" t="n"/>
      <c r="BG59" s="93" t="n"/>
      <c r="BH59" s="93" t="n"/>
      <c r="BI59" s="93" t="n"/>
      <c r="BJ59" s="93" t="n"/>
      <c r="BK59" s="93" t="n"/>
      <c r="BL59" s="93" t="n"/>
      <c r="BM59" s="93" t="n"/>
      <c r="BN59" s="93" t="n"/>
      <c r="BO59" s="93" t="n"/>
      <c r="BP59" s="93" t="n"/>
      <c r="BQ59" s="93" t="n"/>
      <c r="BR59" s="93" t="n"/>
      <c r="BS59" s="93" t="n"/>
      <c r="BT59" s="93" t="n"/>
      <c r="BU59" s="93">
        <f>MAX(AW57:AW59)</f>
        <v/>
      </c>
      <c r="BV59" s="93" t="n"/>
      <c r="BW59" s="93" t="n"/>
      <c r="BX59" s="93" t="n"/>
      <c r="BY59" s="93" t="n"/>
      <c r="BZ59" s="93" t="n"/>
    </row>
    <row r="60">
      <c r="B60" s="95">
        <f>IFERROR(ROUND(AVERAGE(C60:AU60),2),"")</f>
        <v/>
      </c>
      <c r="AP60" s="96" t="n"/>
      <c r="AQ60" s="96" t="n"/>
      <c r="AW60" s="93">
        <f>IF(COUNT(C60:AU60)=0,"",COUNT(C60:AU60))</f>
        <v/>
      </c>
      <c r="AX60" s="104" t="n"/>
    </row>
    <row r="61">
      <c r="A61" s="93" t="inlineStr">
        <is>
          <t>sea fever</t>
        </is>
      </c>
      <c r="B61" s="95">
        <f>IFERROR(ROUND(AVERAGE(C61:AU61),2),"")</f>
        <v/>
      </c>
      <c r="C61" s="93" t="n">
        <v>7</v>
      </c>
      <c r="D61" s="93" t="n">
        <v>4</v>
      </c>
      <c r="E61" s="93" t="n">
        <v>3</v>
      </c>
      <c r="F61" s="93" t="n"/>
      <c r="G61" s="93" t="n">
        <v>5</v>
      </c>
      <c r="H61" s="93" t="n">
        <v>3</v>
      </c>
      <c r="I61" s="93" t="n">
        <v>1.5</v>
      </c>
      <c r="J61" s="93" t="n"/>
      <c r="K61" s="93" t="n">
        <v>6</v>
      </c>
      <c r="L61" s="93" t="n">
        <v>2</v>
      </c>
      <c r="M61" s="93" t="n"/>
      <c r="N61" s="93" t="n"/>
      <c r="O61" s="93" t="n"/>
      <c r="P61" s="93" t="n"/>
      <c r="Q61" s="93" t="n"/>
      <c r="R61" s="93" t="n"/>
      <c r="S61" s="93" t="n"/>
      <c r="T61" s="93" t="n"/>
      <c r="U61" s="93" t="n"/>
      <c r="V61" s="93" t="n"/>
      <c r="W61" s="93" t="n"/>
      <c r="X61" s="93" t="n"/>
      <c r="Y61" s="93" t="n"/>
      <c r="Z61" s="93" t="n"/>
      <c r="AA61" s="93" t="n"/>
      <c r="AB61" s="93" t="n"/>
      <c r="AC61" s="93" t="n"/>
      <c r="AD61" s="93" t="n"/>
      <c r="AE61" s="93" t="n"/>
      <c r="AF61" s="93" t="n"/>
      <c r="AG61" s="93" t="n"/>
      <c r="AH61" s="93" t="n"/>
      <c r="AI61" s="93" t="n"/>
      <c r="AJ61" s="93" t="n"/>
      <c r="AK61" s="93" t="n"/>
      <c r="AL61" s="93" t="n"/>
      <c r="AM61" s="93" t="n"/>
      <c r="AN61" s="93" t="n"/>
      <c r="AP61" s="94" t="n"/>
      <c r="AQ61" s="94" t="n"/>
      <c r="AR61" s="93" t="n"/>
      <c r="AS61" s="93" t="n"/>
      <c r="AT61" s="93" t="n"/>
      <c r="AU61" s="93" t="n"/>
      <c r="AV61" s="93" t="n"/>
      <c r="AW61" s="93">
        <f>IF(COUNT(C61:AU61)=0,"",COUNT(C61:AU61))</f>
        <v/>
      </c>
      <c r="AX61" s="95" t="n"/>
      <c r="AY61" s="93" t="n"/>
      <c r="AZ61" s="93" t="n"/>
      <c r="BA61" s="93" t="n"/>
      <c r="BB61" s="93" t="n"/>
      <c r="BC61" s="93" t="n"/>
      <c r="BD61" s="93" t="n"/>
      <c r="BE61" s="93" t="n"/>
      <c r="BF61" s="93" t="n"/>
      <c r="BG61" s="93" t="n"/>
      <c r="BH61" s="93" t="n"/>
      <c r="BI61" s="93" t="n"/>
      <c r="BJ61" s="93" t="n"/>
      <c r="BK61" s="93" t="n"/>
      <c r="BL61" s="93" t="n"/>
      <c r="BM61" s="93" t="n"/>
      <c r="BN61" s="93" t="n"/>
      <c r="BO61" s="93" t="n"/>
      <c r="BP61" s="93" t="n"/>
      <c r="BQ61" s="93" t="n"/>
      <c r="BR61" s="93" t="n"/>
      <c r="BS61" s="93" t="n"/>
      <c r="BT61" s="93" t="n"/>
      <c r="BU61" s="93" t="n"/>
      <c r="BV61" s="93" t="n"/>
      <c r="BW61" s="93" t="n"/>
      <c r="BX61" s="93" t="n"/>
      <c r="BY61" s="93" t="n"/>
      <c r="BZ61" s="93" t="n"/>
    </row>
    <row r="62">
      <c r="A62" s="93" t="inlineStr">
        <is>
          <t>47 meters</t>
        </is>
      </c>
      <c r="B62" s="95">
        <f>IFERROR(ROUND(AVERAGE(C62:AU62),2),"")</f>
        <v/>
      </c>
      <c r="C62" s="93" t="n">
        <v>4</v>
      </c>
      <c r="D62" s="93" t="n">
        <v>3</v>
      </c>
      <c r="E62" s="93" t="n">
        <v>4.5</v>
      </c>
      <c r="F62" s="93" t="n"/>
      <c r="G62" s="93" t="n">
        <v>4</v>
      </c>
      <c r="H62" s="93" t="n">
        <v>4</v>
      </c>
      <c r="I62" s="93" t="n">
        <v>4</v>
      </c>
      <c r="J62" s="93" t="n"/>
      <c r="K62" s="93" t="n">
        <v>8.5</v>
      </c>
      <c r="L62" s="93" t="n">
        <v>4</v>
      </c>
      <c r="M62" s="93" t="n"/>
      <c r="N62" s="93" t="n"/>
      <c r="O62" s="93" t="n"/>
      <c r="P62" s="93" t="n"/>
      <c r="Q62" s="93" t="n"/>
      <c r="R62" s="93" t="n"/>
      <c r="S62" s="93" t="n"/>
      <c r="T62" s="93" t="n"/>
      <c r="U62" s="93" t="n"/>
      <c r="V62" s="93" t="n"/>
      <c r="W62" s="93" t="n"/>
      <c r="X62" s="93" t="n"/>
      <c r="Y62" s="93" t="n"/>
      <c r="Z62" s="93" t="n"/>
      <c r="AA62" s="93" t="n"/>
      <c r="AB62" s="93" t="n"/>
      <c r="AC62" s="93" t="n"/>
      <c r="AD62" s="93" t="n"/>
      <c r="AE62" s="93" t="n"/>
      <c r="AF62" s="93" t="n"/>
      <c r="AG62" s="93" t="n"/>
      <c r="AH62" s="93" t="n"/>
      <c r="AI62" s="93" t="n"/>
      <c r="AJ62" s="93" t="n"/>
      <c r="AK62" s="93" t="n"/>
      <c r="AL62" s="93" t="n"/>
      <c r="AM62" s="93" t="n"/>
      <c r="AN62" s="93" t="n"/>
      <c r="AP62" s="94" t="n"/>
      <c r="AQ62" s="94" t="n"/>
      <c r="AR62" s="93" t="n"/>
      <c r="AS62" s="93" t="n"/>
      <c r="AT62" s="93" t="n"/>
      <c r="AU62" s="93" t="n"/>
      <c r="AV62" s="93" t="n"/>
      <c r="AW62" s="93">
        <f>IF(COUNT(C62:AU62)=0,"",COUNT(C62:AU62))</f>
        <v/>
      </c>
      <c r="AX62" s="95" t="n"/>
      <c r="AY62" s="93" t="n"/>
      <c r="AZ62" s="93" t="n"/>
      <c r="BA62" s="93" t="n"/>
      <c r="BB62" s="93" t="n"/>
      <c r="BC62" s="93" t="n"/>
      <c r="BD62" s="93" t="n"/>
      <c r="BE62" s="93" t="n"/>
      <c r="BF62" s="93" t="n"/>
      <c r="BG62" s="93" t="n"/>
      <c r="BH62" s="93" t="n"/>
      <c r="BI62" s="93" t="n"/>
      <c r="BJ62" s="93" t="n"/>
      <c r="BK62" s="93" t="n"/>
      <c r="BL62" s="93" t="n"/>
      <c r="BM62" s="93" t="n"/>
      <c r="BN62" s="93" t="n"/>
      <c r="BO62" s="93" t="n"/>
      <c r="BP62" s="93" t="n"/>
      <c r="BQ62" s="93" t="n"/>
      <c r="BR62" s="93" t="n"/>
      <c r="BS62" s="93" t="n"/>
      <c r="BT62" s="93" t="n"/>
      <c r="BU62" s="93" t="n"/>
      <c r="BV62" s="93" t="n"/>
      <c r="BW62" s="93" t="n"/>
      <c r="BX62" s="93" t="n"/>
      <c r="BY62" s="93" t="n"/>
      <c r="BZ62" s="93" t="n"/>
    </row>
    <row r="63">
      <c r="A63" s="93" t="inlineStr">
        <is>
          <t xml:space="preserve">obecnosc 3 </t>
        </is>
      </c>
      <c r="B63" s="95">
        <f>IFERROR(ROUND(AVERAGE(C63:AU63),2),"")</f>
        <v/>
      </c>
      <c r="C63" s="93" t="n">
        <v>6</v>
      </c>
      <c r="D63" s="93" t="n">
        <v>7</v>
      </c>
      <c r="E63" s="93" t="n">
        <v>8</v>
      </c>
      <c r="F63" s="93" t="n"/>
      <c r="G63" s="93" t="n">
        <v>6.5</v>
      </c>
      <c r="H63" s="93" t="n">
        <v>7</v>
      </c>
      <c r="I63" s="93" t="n">
        <v>6.5</v>
      </c>
      <c r="J63" s="93" t="n"/>
      <c r="K63" s="93" t="n">
        <v>10</v>
      </c>
      <c r="L63" s="93" t="n"/>
      <c r="M63" s="93" t="n"/>
      <c r="N63" s="93" t="n"/>
      <c r="O63" s="93" t="n"/>
      <c r="P63" s="93" t="n"/>
      <c r="Q63" s="93" t="n"/>
      <c r="R63" s="93" t="n"/>
      <c r="S63" s="93" t="n"/>
      <c r="T63" s="93" t="n"/>
      <c r="U63" s="93" t="n"/>
      <c r="V63" s="93" t="n"/>
      <c r="W63" s="93" t="n"/>
      <c r="X63" s="93" t="n"/>
      <c r="Y63" s="93" t="n"/>
      <c r="Z63" s="93" t="n"/>
      <c r="AA63" s="93" t="n"/>
      <c r="AB63" s="93" t="n"/>
      <c r="AC63" s="93" t="n"/>
      <c r="AD63" s="93" t="n"/>
      <c r="AE63" s="93" t="n"/>
      <c r="AF63" s="93" t="n"/>
      <c r="AG63" s="93" t="n"/>
      <c r="AH63" s="93" t="n"/>
      <c r="AI63" s="93" t="n"/>
      <c r="AJ63" s="93" t="n"/>
      <c r="AK63" s="93" t="n"/>
      <c r="AL63" s="93" t="n"/>
      <c r="AM63" s="93" t="n"/>
      <c r="AN63" s="93" t="n"/>
      <c r="AP63" s="94" t="n"/>
      <c r="AQ63" s="94" t="n"/>
      <c r="AR63" s="93" t="n"/>
      <c r="AS63" s="93" t="n"/>
      <c r="AT63" s="93" t="n"/>
      <c r="AU63" s="93" t="n"/>
      <c r="AV63" s="93" t="n"/>
      <c r="AW63" s="93">
        <f>IF(COUNT(C63:AU63)=0,"",COUNT(C63:AU63))</f>
        <v/>
      </c>
      <c r="AX63" s="95" t="n"/>
      <c r="AY63" s="93" t="n"/>
      <c r="AZ63" s="93" t="n"/>
      <c r="BA63" s="93" t="n"/>
      <c r="BB63" s="93" t="n"/>
      <c r="BC63" s="93" t="n"/>
      <c r="BD63" s="93" t="n"/>
      <c r="BE63" s="93" t="n"/>
      <c r="BF63" s="93" t="n"/>
      <c r="BG63" s="93" t="n"/>
      <c r="BH63" s="93" t="n"/>
      <c r="BI63" s="93" t="n"/>
      <c r="BJ63" s="93" t="n"/>
      <c r="BK63" s="93" t="n"/>
      <c r="BL63" s="93" t="n"/>
      <c r="BM63" s="93" t="n"/>
      <c r="BN63" s="93" t="n"/>
      <c r="BO63" s="93" t="n"/>
      <c r="BP63" s="93" t="n"/>
      <c r="BQ63" s="93" t="n"/>
      <c r="BR63" s="93" t="n"/>
      <c r="BS63" s="93" t="n"/>
      <c r="BT63" s="93" t="n"/>
      <c r="BU63" s="93">
        <f>MAX(AW61:AW63)</f>
        <v/>
      </c>
      <c r="BV63" s="93" t="n"/>
      <c r="BW63" s="93" t="n"/>
      <c r="BX63" s="93" t="n"/>
      <c r="BY63" s="93" t="n"/>
      <c r="BZ63" s="93" t="n"/>
    </row>
    <row r="64">
      <c r="B64" s="95" t="n"/>
      <c r="AP64" s="96" t="n"/>
      <c r="AQ64" s="96" t="n"/>
      <c r="AW64" s="93">
        <f>IF(COUNT(C64:AU64)=0,"",COUNT(C64:AU64))</f>
        <v/>
      </c>
      <c r="AX64" s="104" t="n"/>
    </row>
    <row r="65">
      <c r="B65" s="104" t="n"/>
      <c r="AP65" s="96" t="n"/>
      <c r="AQ65" s="96" t="n"/>
      <c r="AW65" s="93">
        <f>IF(COUNT(C65:AU65)=0,"",COUNT(C65:AU65))</f>
        <v/>
      </c>
      <c r="AX65" s="104" t="n"/>
    </row>
    <row r="66">
      <c r="B66" s="95" t="n"/>
      <c r="AP66" s="96" t="n"/>
      <c r="AQ66" s="96" t="n"/>
      <c r="AW66" s="93">
        <f>IF(COUNT(C66:AU66)=0,"",COUNT(C66:AU66))</f>
        <v/>
      </c>
      <c r="AX66" s="104" t="n"/>
    </row>
    <row r="67">
      <c r="A67" s="93" t="inlineStr">
        <is>
          <t>scary stories to tell in the dark</t>
        </is>
      </c>
      <c r="B67" s="95">
        <f>IFERROR(ROUND(AVERAGE(C67:AU67),2),"")</f>
        <v/>
      </c>
      <c r="C67" s="93" t="n">
        <v>6</v>
      </c>
      <c r="D67" s="93" t="n">
        <v>7.5</v>
      </c>
      <c r="E67" s="93" t="n"/>
      <c r="F67" s="93" t="n">
        <v>4.5</v>
      </c>
      <c r="G67" s="93" t="n"/>
      <c r="H67" s="93" t="n"/>
      <c r="I67" s="93" t="n"/>
      <c r="J67" s="93" t="n"/>
      <c r="K67" s="93" t="n">
        <v>8</v>
      </c>
      <c r="L67" s="93" t="n"/>
      <c r="M67" s="93" t="n"/>
      <c r="N67" s="93" t="n">
        <v>5</v>
      </c>
      <c r="O67" s="93" t="n"/>
      <c r="P67" s="93" t="n">
        <v>5</v>
      </c>
      <c r="Q67" s="93" t="n"/>
      <c r="R67" s="93" t="n"/>
      <c r="S67" s="93" t="n"/>
      <c r="T67" s="93" t="n"/>
      <c r="U67" s="93" t="n"/>
      <c r="V67" s="93" t="n"/>
      <c r="W67" s="93" t="n"/>
      <c r="X67" s="93" t="n"/>
      <c r="Y67" s="93" t="n"/>
      <c r="Z67" s="93" t="n"/>
      <c r="AA67" s="93" t="n"/>
      <c r="AB67" s="93" t="n"/>
      <c r="AC67" s="93" t="n"/>
      <c r="AD67" s="93" t="n"/>
      <c r="AE67" s="93" t="n"/>
      <c r="AF67" s="93" t="n"/>
      <c r="AG67" s="93" t="n"/>
      <c r="AH67" s="93" t="n"/>
      <c r="AI67" s="93" t="n"/>
      <c r="AJ67" s="93" t="n"/>
      <c r="AK67" s="93" t="n"/>
      <c r="AL67" s="93" t="n"/>
      <c r="AM67" s="93" t="n"/>
      <c r="AN67" s="93" t="n"/>
      <c r="AP67" s="94" t="n"/>
      <c r="AQ67" s="94" t="n"/>
      <c r="AR67" s="93" t="n"/>
      <c r="AS67" s="93" t="n"/>
      <c r="AT67" s="93" t="n"/>
      <c r="AU67" s="93" t="n"/>
      <c r="AV67" s="93" t="n"/>
      <c r="AW67" s="93">
        <f>IF(COUNT(C67:AU67)=0,"",COUNT(C67:AU67))</f>
        <v/>
      </c>
      <c r="AX67" s="95" t="n"/>
      <c r="AY67" s="93" t="n"/>
      <c r="AZ67" s="93" t="n"/>
      <c r="BA67" s="93" t="n"/>
      <c r="BB67" s="93" t="n"/>
      <c r="BC67" s="93" t="n"/>
      <c r="BD67" s="93" t="n"/>
      <c r="BE67" s="93" t="n"/>
      <c r="BF67" s="93" t="n"/>
      <c r="BG67" s="93" t="n"/>
      <c r="BH67" s="93" t="n"/>
      <c r="BI67" s="93" t="n"/>
      <c r="BJ67" s="93" t="n"/>
      <c r="BK67" s="93" t="n"/>
      <c r="BL67" s="93" t="n"/>
      <c r="BM67" s="93" t="n"/>
      <c r="BN67" s="93" t="n"/>
      <c r="BO67" s="93" t="n"/>
      <c r="BP67" s="93" t="n"/>
      <c r="BQ67" s="93" t="n"/>
      <c r="BR67" s="93" t="n"/>
      <c r="BS67" s="93" t="n"/>
      <c r="BT67" s="93" t="n"/>
      <c r="BU67" s="93" t="n"/>
      <c r="BV67" s="93" t="n"/>
      <c r="BW67" s="93" t="n"/>
      <c r="BX67" s="93" t="n"/>
      <c r="BY67" s="93" t="n"/>
      <c r="BZ67" s="93" t="n"/>
    </row>
    <row r="68">
      <c r="A68" s="93" t="inlineStr">
        <is>
          <t>pet sementary</t>
        </is>
      </c>
      <c r="B68" s="95">
        <f>IFERROR(ROUND(AVERAGE(C68:AU68),2),"")</f>
        <v/>
      </c>
      <c r="C68" s="93" t="n">
        <v>9</v>
      </c>
      <c r="D68" s="93" t="n">
        <v>6</v>
      </c>
      <c r="E68" s="93" t="n"/>
      <c r="F68" s="93" t="n">
        <v>6.5</v>
      </c>
      <c r="G68" s="93" t="n"/>
      <c r="H68" s="93" t="n"/>
      <c r="I68" s="93" t="n"/>
      <c r="J68" s="93" t="n">
        <v>8</v>
      </c>
      <c r="K68" s="93" t="n">
        <v>9.5</v>
      </c>
      <c r="L68" s="93" t="n"/>
      <c r="M68" s="93" t="n"/>
      <c r="N68" s="93" t="n">
        <v>6</v>
      </c>
      <c r="O68" s="93" t="n"/>
      <c r="P68" s="93" t="n">
        <v>6</v>
      </c>
      <c r="Q68" s="93" t="n"/>
      <c r="R68" s="93" t="n"/>
      <c r="S68" s="93" t="n"/>
      <c r="T68" s="93" t="n"/>
      <c r="U68" s="93" t="n"/>
      <c r="V68" s="93" t="n"/>
      <c r="W68" s="93" t="n"/>
      <c r="X68" s="93" t="n"/>
      <c r="Y68" s="93" t="n"/>
      <c r="Z68" s="93" t="n"/>
      <c r="AA68" s="93" t="n"/>
      <c r="AB68" s="93" t="n"/>
      <c r="AC68" s="93" t="n"/>
      <c r="AD68" s="93" t="n"/>
      <c r="AE68" s="93" t="n"/>
      <c r="AF68" s="93" t="n"/>
      <c r="AG68" s="93" t="n"/>
      <c r="AH68" s="93" t="n"/>
      <c r="AI68" s="93" t="n"/>
      <c r="AJ68" s="93" t="n"/>
      <c r="AK68" s="93" t="n"/>
      <c r="AL68" s="93" t="n"/>
      <c r="AM68" s="93" t="n"/>
      <c r="AN68" s="93" t="n"/>
      <c r="AP68" s="94" t="n"/>
      <c r="AQ68" s="94" t="n"/>
      <c r="AR68" s="93" t="n"/>
      <c r="AS68" s="93" t="n"/>
      <c r="AT68" s="93" t="n"/>
      <c r="AU68" s="93" t="n"/>
      <c r="AV68" s="93" t="n"/>
      <c r="AW68" s="93">
        <f>IF(COUNT(C68:AU68)=0,"",COUNT(C68:AU68))</f>
        <v/>
      </c>
      <c r="AX68" s="95" t="n"/>
      <c r="AY68" s="93" t="n"/>
      <c r="AZ68" s="93" t="n"/>
      <c r="BA68" s="93" t="n"/>
      <c r="BB68" s="93" t="n"/>
      <c r="BC68" s="93" t="n"/>
      <c r="BD68" s="93" t="n"/>
      <c r="BE68" s="93" t="n"/>
      <c r="BF68" s="93" t="n"/>
      <c r="BG68" s="93" t="n"/>
      <c r="BH68" s="93" t="n"/>
      <c r="BI68" s="93" t="n"/>
      <c r="BJ68" s="93" t="n"/>
      <c r="BK68" s="93" t="n"/>
      <c r="BL68" s="93" t="n"/>
      <c r="BM68" s="93" t="n"/>
      <c r="BN68" s="93" t="n"/>
      <c r="BO68" s="93" t="n"/>
      <c r="BP68" s="93" t="n"/>
      <c r="BQ68" s="93" t="n"/>
      <c r="BR68" s="93" t="n"/>
      <c r="BS68" s="93" t="n"/>
      <c r="BT68" s="93" t="n"/>
      <c r="BU68" s="93" t="n"/>
      <c r="BV68" s="93" t="n"/>
      <c r="BW68" s="93" t="n"/>
      <c r="BX68" s="93" t="n"/>
      <c r="BY68" s="93" t="n"/>
      <c r="BZ68" s="93" t="n"/>
    </row>
    <row r="69">
      <c r="A69" s="93" t="inlineStr">
        <is>
          <t>happy death day</t>
        </is>
      </c>
      <c r="B69" s="95">
        <f>IFERROR(ROUND(AVERAGE(C69:AU69),2),"")</f>
        <v/>
      </c>
      <c r="C69" s="93" t="n">
        <v>10</v>
      </c>
      <c r="D69" s="93" t="n">
        <v>8</v>
      </c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  <c r="R69" s="93" t="n"/>
      <c r="S69" s="93" t="n"/>
      <c r="T69" s="93" t="n"/>
      <c r="U69" s="93" t="n"/>
      <c r="V69" s="93" t="n"/>
      <c r="W69" s="93" t="n"/>
      <c r="X69" s="93" t="n"/>
      <c r="Y69" s="93" t="n"/>
      <c r="Z69" s="93" t="n"/>
      <c r="AA69" s="93" t="n"/>
      <c r="AB69" s="93" t="n"/>
      <c r="AC69" s="93" t="n"/>
      <c r="AD69" s="93" t="n"/>
      <c r="AE69" s="93" t="n"/>
      <c r="AF69" s="93" t="n"/>
      <c r="AG69" s="93" t="n"/>
      <c r="AH69" s="93" t="n"/>
      <c r="AI69" s="93" t="n"/>
      <c r="AJ69" s="93" t="n"/>
      <c r="AK69" s="93" t="n"/>
      <c r="AL69" s="93" t="n"/>
      <c r="AM69" s="93" t="n"/>
      <c r="AN69" s="93" t="n"/>
      <c r="AP69" s="94" t="n"/>
      <c r="AQ69" s="94" t="n"/>
      <c r="AR69" s="93" t="n"/>
      <c r="AS69" s="93" t="n"/>
      <c r="AT69" s="93" t="n"/>
      <c r="AU69" s="93" t="n"/>
      <c r="AV69" s="93" t="n"/>
      <c r="AW69" s="93">
        <f>IF(COUNT(C69:AU69)=0,"",COUNT(C69:AU69))</f>
        <v/>
      </c>
      <c r="AX69" s="95" t="n"/>
      <c r="AY69" s="93" t="n"/>
      <c r="AZ69" s="93" t="n"/>
      <c r="BA69" s="93" t="n"/>
      <c r="BB69" s="93" t="n"/>
      <c r="BC69" s="93" t="n"/>
      <c r="BD69" s="93" t="n"/>
      <c r="BE69" s="93" t="n"/>
      <c r="BF69" s="93" t="n"/>
      <c r="BG69" s="93" t="n"/>
      <c r="BH69" s="93" t="n"/>
      <c r="BI69" s="93" t="n"/>
      <c r="BJ69" s="93" t="n"/>
      <c r="BK69" s="93" t="n"/>
      <c r="BL69" s="93" t="n"/>
      <c r="BM69" s="93" t="n"/>
      <c r="BN69" s="93" t="n"/>
      <c r="BO69" s="93" t="n"/>
      <c r="BP69" s="93" t="n"/>
      <c r="BQ69" s="93" t="n"/>
      <c r="BR69" s="93" t="n"/>
      <c r="BS69" s="93" t="n"/>
      <c r="BT69" s="93" t="n"/>
      <c r="BU69" s="93" t="n"/>
      <c r="BV69" s="93" t="n"/>
      <c r="BW69" s="93" t="n"/>
      <c r="BX69" s="93" t="n"/>
      <c r="BY69" s="93" t="n"/>
      <c r="BZ69" s="93" t="n"/>
    </row>
    <row r="70">
      <c r="A70" s="93" t="inlineStr">
        <is>
          <t>happy death day 2u</t>
        </is>
      </c>
      <c r="B70" s="95">
        <f>IFERROR(ROUND(AVERAGE(C70:AU70),2),"")</f>
        <v/>
      </c>
      <c r="C70" s="93" t="n">
        <v>9</v>
      </c>
      <c r="D70" s="93" t="n">
        <v>4</v>
      </c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  <c r="R70" s="93" t="n"/>
      <c r="S70" s="93" t="n"/>
      <c r="T70" s="93" t="n"/>
      <c r="U70" s="93" t="n"/>
      <c r="V70" s="93" t="n"/>
      <c r="W70" s="93" t="n"/>
      <c r="X70" s="93" t="n"/>
      <c r="Y70" s="93" t="n"/>
      <c r="Z70" s="93" t="n"/>
      <c r="AA70" s="93" t="n"/>
      <c r="AB70" s="93" t="n"/>
      <c r="AC70" s="93" t="n"/>
      <c r="AD70" s="93" t="n"/>
      <c r="AE70" s="93" t="n"/>
      <c r="AF70" s="93" t="n"/>
      <c r="AG70" s="93" t="n"/>
      <c r="AH70" s="93" t="n"/>
      <c r="AI70" s="93" t="n"/>
      <c r="AJ70" s="93" t="n"/>
      <c r="AK70" s="93" t="n"/>
      <c r="AL70" s="93" t="n"/>
      <c r="AM70" s="93" t="n"/>
      <c r="AN70" s="93" t="n"/>
      <c r="AP70" s="94" t="n"/>
      <c r="AQ70" s="94" t="n"/>
      <c r="AR70" s="93" t="n"/>
      <c r="AS70" s="93" t="n"/>
      <c r="AT70" s="93" t="n"/>
      <c r="AU70" s="93" t="n"/>
      <c r="AV70" s="93" t="n"/>
      <c r="AW70" s="93">
        <f>IF(COUNT(C70:AU70)=0,"",COUNT(C70:AU70))</f>
        <v/>
      </c>
      <c r="AX70" s="95" t="n"/>
      <c r="AY70" s="93" t="n"/>
      <c r="AZ70" s="93" t="n"/>
      <c r="BA70" s="93" t="n"/>
      <c r="BB70" s="93" t="n"/>
      <c r="BC70" s="93" t="n"/>
      <c r="BD70" s="93" t="n"/>
      <c r="BE70" s="93" t="n"/>
      <c r="BF70" s="93" t="n"/>
      <c r="BG70" s="93" t="n"/>
      <c r="BH70" s="93" t="n"/>
      <c r="BI70" s="93" t="n"/>
      <c r="BJ70" s="93" t="n"/>
      <c r="BK70" s="93" t="n"/>
      <c r="BL70" s="93" t="n"/>
      <c r="BM70" s="93" t="n"/>
      <c r="BN70" s="93" t="n"/>
      <c r="BO70" s="93" t="n"/>
      <c r="BP70" s="93" t="n"/>
      <c r="BQ70" s="93" t="n"/>
      <c r="BR70" s="93" t="n"/>
      <c r="BS70" s="93" t="n"/>
      <c r="BT70" s="93" t="n"/>
      <c r="BU70" s="93">
        <f>MAX(AW68:AW70)</f>
        <v/>
      </c>
      <c r="BV70" s="93" t="n"/>
      <c r="BW70" s="93" t="n"/>
      <c r="BX70" s="93" t="n"/>
      <c r="BY70" s="93" t="n"/>
      <c r="BZ70" s="93" t="n"/>
    </row>
    <row r="71">
      <c r="B71" s="95" t="n"/>
      <c r="AP71" s="96" t="n"/>
      <c r="AQ71" s="96" t="n"/>
      <c r="AW71" s="93">
        <f>IF(COUNT(C71:AU71)=0,"",COUNT(C71:AU71))</f>
        <v/>
      </c>
      <c r="AX71" s="104" t="n"/>
    </row>
    <row r="72">
      <c r="B72" s="95" t="n"/>
      <c r="AP72" s="96" t="n"/>
      <c r="AQ72" s="96" t="n"/>
      <c r="AW72" s="93">
        <f>IF(COUNT(C72:AU72)=0,"",COUNT(C72:AU72))</f>
        <v/>
      </c>
      <c r="AX72" s="104" t="n"/>
    </row>
    <row r="73">
      <c r="A73" s="93" t="inlineStr">
        <is>
          <t>birdemic 2</t>
        </is>
      </c>
      <c r="B73" s="95">
        <f>IFERROR(ROUND(AVERAGE(C73:AU73),2),"")</f>
        <v/>
      </c>
      <c r="C73" s="93" t="n">
        <v>1</v>
      </c>
      <c r="D73" s="93" t="n">
        <v>1</v>
      </c>
      <c r="E73" s="93" t="n">
        <v>2</v>
      </c>
      <c r="F73" s="93" t="n">
        <v>1</v>
      </c>
      <c r="G73" s="93" t="n">
        <v>1</v>
      </c>
      <c r="H73" s="93" t="n"/>
      <c r="I73" s="93" t="n">
        <v>6</v>
      </c>
      <c r="J73" s="93" t="n"/>
      <c r="K73" s="93" t="n">
        <v>1</v>
      </c>
      <c r="L73" s="93" t="n"/>
      <c r="M73" s="93" t="n"/>
      <c r="N73" s="93" t="n"/>
      <c r="O73" s="93" t="n"/>
      <c r="P73" s="93" t="n"/>
      <c r="Q73" s="93" t="n"/>
      <c r="R73" s="93" t="n"/>
      <c r="S73" s="93" t="n"/>
      <c r="T73" s="93" t="n"/>
      <c r="U73" s="93" t="n"/>
      <c r="V73" s="93" t="n"/>
      <c r="W73" s="93" t="n"/>
      <c r="X73" s="93" t="n"/>
      <c r="Y73" s="93" t="n"/>
      <c r="Z73" s="93" t="n"/>
      <c r="AA73" s="93" t="n"/>
      <c r="AB73" s="93" t="n"/>
      <c r="AC73" s="93" t="n"/>
      <c r="AD73" s="93" t="n"/>
      <c r="AE73" s="93" t="n"/>
      <c r="AF73" s="93" t="n"/>
      <c r="AG73" s="93" t="n"/>
      <c r="AH73" s="93" t="n"/>
      <c r="AI73" s="93" t="n"/>
      <c r="AJ73" s="93" t="n"/>
      <c r="AK73" s="93" t="n"/>
      <c r="AL73" s="93" t="n"/>
      <c r="AM73" s="93" t="n"/>
      <c r="AN73" s="93" t="n"/>
      <c r="AP73" s="94" t="n"/>
      <c r="AQ73" s="94" t="n"/>
      <c r="AR73" s="93" t="n"/>
      <c r="AS73" s="93" t="n"/>
      <c r="AT73" s="93" t="n"/>
      <c r="AU73" s="93" t="n"/>
      <c r="AV73" s="93" t="n"/>
      <c r="AW73" s="93">
        <f>IF(COUNT(C73:AU73)=0,"",COUNT(C73:AU73))</f>
        <v/>
      </c>
      <c r="AX73" s="95" t="n"/>
      <c r="AY73" s="93" t="n"/>
      <c r="AZ73" s="93" t="n"/>
      <c r="BA73" s="93" t="n"/>
      <c r="BB73" s="93" t="n"/>
      <c r="BC73" s="93" t="n"/>
      <c r="BD73" s="93" t="n"/>
      <c r="BE73" s="93" t="n"/>
      <c r="BF73" s="93" t="n"/>
      <c r="BG73" s="93" t="n"/>
      <c r="BH73" s="93" t="n"/>
      <c r="BI73" s="93" t="n"/>
      <c r="BJ73" s="93" t="n"/>
      <c r="BK73" s="93" t="n"/>
      <c r="BL73" s="93" t="n"/>
      <c r="BM73" s="93" t="n"/>
      <c r="BN73" s="93" t="n"/>
      <c r="BO73" s="93" t="n"/>
      <c r="BP73" s="93" t="n"/>
      <c r="BQ73" s="93" t="n"/>
      <c r="BR73" s="93" t="n"/>
      <c r="BS73" s="93" t="n"/>
      <c r="BT73" s="93" t="n"/>
      <c r="BU73" s="93" t="n"/>
      <c r="BV73" s="93" t="n"/>
      <c r="BW73" s="93" t="n"/>
      <c r="BX73" s="93" t="n"/>
      <c r="BY73" s="93" t="n"/>
      <c r="BZ73" s="93" t="n"/>
    </row>
    <row r="74">
      <c r="A74" s="93" t="inlineStr">
        <is>
          <t>babadook</t>
        </is>
      </c>
      <c r="B74" s="95">
        <f>IFERROR(ROUND(AVERAGE(C74:AU74),2),"")</f>
        <v/>
      </c>
      <c r="C74" s="93" t="n">
        <v>10</v>
      </c>
      <c r="D74" s="93" t="n">
        <v>6</v>
      </c>
      <c r="E74" s="93" t="n">
        <v>6</v>
      </c>
      <c r="F74" s="93" t="n">
        <v>7</v>
      </c>
      <c r="G74" s="93" t="n">
        <v>5</v>
      </c>
      <c r="H74" s="93" t="n"/>
      <c r="I74" s="93" t="n">
        <v>7.5</v>
      </c>
      <c r="J74" s="93" t="n"/>
      <c r="K74" s="93" t="n">
        <v>9</v>
      </c>
      <c r="L74" s="93" t="n"/>
      <c r="M74" s="93" t="n"/>
      <c r="N74" s="93" t="n"/>
      <c r="O74" s="93" t="n"/>
      <c r="P74" s="93" t="n"/>
      <c r="Q74" s="93" t="n"/>
      <c r="R74" s="93" t="n"/>
      <c r="S74" s="93" t="n"/>
      <c r="T74" s="93" t="n"/>
      <c r="U74" s="93" t="n"/>
      <c r="V74" s="93" t="n"/>
      <c r="W74" s="93" t="n"/>
      <c r="X74" s="93" t="n"/>
      <c r="Y74" s="93" t="n"/>
      <c r="Z74" s="93" t="n"/>
      <c r="AA74" s="93" t="n"/>
      <c r="AB74" s="93" t="n"/>
      <c r="AC74" s="93" t="n"/>
      <c r="AD74" s="93" t="n"/>
      <c r="AE74" s="93" t="n"/>
      <c r="AF74" s="93" t="n"/>
      <c r="AG74" s="93" t="n"/>
      <c r="AH74" s="93" t="n"/>
      <c r="AI74" s="93" t="n"/>
      <c r="AJ74" s="93" t="n"/>
      <c r="AK74" s="93" t="n"/>
      <c r="AL74" s="93" t="n"/>
      <c r="AM74" s="93" t="n"/>
      <c r="AN74" s="93" t="n"/>
      <c r="AP74" s="94" t="n"/>
      <c r="AQ74" s="94" t="n"/>
      <c r="AR74" s="93" t="n"/>
      <c r="AS74" s="93" t="n"/>
      <c r="AT74" s="93" t="n"/>
      <c r="AU74" s="93" t="n"/>
      <c r="AV74" s="93" t="n"/>
      <c r="AW74" s="93">
        <f>IF(COUNT(C74:AU74)=0,"",COUNT(C74:AU74))</f>
        <v/>
      </c>
      <c r="AX74" s="95" t="n"/>
      <c r="AY74" s="93" t="n"/>
      <c r="AZ74" s="93" t="n"/>
      <c r="BA74" s="93" t="n"/>
      <c r="BB74" s="93" t="n"/>
      <c r="BC74" s="93" t="n"/>
      <c r="BD74" s="93" t="n"/>
      <c r="BE74" s="93" t="n"/>
      <c r="BF74" s="93" t="n"/>
      <c r="BG74" s="93" t="n"/>
      <c r="BH74" s="93" t="n"/>
      <c r="BI74" s="93" t="n"/>
      <c r="BJ74" s="93" t="n"/>
      <c r="BK74" s="93" t="n"/>
      <c r="BL74" s="93" t="n"/>
      <c r="BM74" s="93" t="n"/>
      <c r="BN74" s="93" t="n"/>
      <c r="BO74" s="93" t="n"/>
      <c r="BP74" s="93" t="n"/>
      <c r="BQ74" s="93" t="n"/>
      <c r="BR74" s="93" t="n"/>
      <c r="BS74" s="93" t="n"/>
      <c r="BT74" s="93" t="n"/>
      <c r="BU74" s="93" t="n"/>
      <c r="BV74" s="93" t="n"/>
      <c r="BW74" s="93" t="n"/>
      <c r="BX74" s="93" t="n"/>
      <c r="BY74" s="93" t="n"/>
      <c r="BZ74" s="93" t="n"/>
    </row>
    <row r="75">
      <c r="A75" s="93" t="inlineStr">
        <is>
          <t>grotesque</t>
        </is>
      </c>
      <c r="B75" s="95">
        <f>IFERROR(ROUND(AVERAGE(C75:AU75),2),"")</f>
        <v/>
      </c>
      <c r="C75" s="93" t="n">
        <v>1</v>
      </c>
      <c r="D75" s="93" t="n">
        <v>2</v>
      </c>
      <c r="E75" s="93" t="n">
        <v>7.5</v>
      </c>
      <c r="F75" s="93" t="n"/>
      <c r="G75" s="93" t="n">
        <v>3.5</v>
      </c>
      <c r="H75" s="93" t="n"/>
      <c r="I75" s="93" t="n">
        <v>6.5</v>
      </c>
      <c r="J75" s="93" t="n"/>
      <c r="K75" s="93" t="n">
        <v>7.5</v>
      </c>
      <c r="L75" s="93" t="n"/>
      <c r="M75" s="93" t="n"/>
      <c r="N75" s="93" t="n"/>
      <c r="O75" s="93" t="n"/>
      <c r="P75" s="93" t="n"/>
      <c r="Q75" s="93" t="n"/>
      <c r="R75" s="93" t="n"/>
      <c r="S75" s="93" t="n"/>
      <c r="T75" s="93" t="n"/>
      <c r="U75" s="93" t="n"/>
      <c r="V75" s="93" t="n"/>
      <c r="W75" s="93" t="n"/>
      <c r="X75" s="93" t="n"/>
      <c r="Y75" s="93" t="n"/>
      <c r="Z75" s="93" t="n"/>
      <c r="AA75" s="93" t="n"/>
      <c r="AB75" s="93" t="n"/>
      <c r="AC75" s="93" t="n"/>
      <c r="AD75" s="93" t="n"/>
      <c r="AE75" s="93" t="n"/>
      <c r="AF75" s="93" t="n"/>
      <c r="AG75" s="93" t="n"/>
      <c r="AH75" s="93" t="n"/>
      <c r="AI75" s="93" t="n"/>
      <c r="AJ75" s="93" t="n"/>
      <c r="AK75" s="93" t="n"/>
      <c r="AL75" s="93" t="n"/>
      <c r="AM75" s="93" t="n"/>
      <c r="AN75" s="93" t="n"/>
      <c r="AP75" s="94" t="n"/>
      <c r="AQ75" s="94" t="n"/>
      <c r="AR75" s="93" t="n"/>
      <c r="AS75" s="93" t="n"/>
      <c r="AT75" s="93" t="n"/>
      <c r="AU75" s="93" t="n"/>
      <c r="AV75" s="93" t="n"/>
      <c r="AW75" s="93">
        <f>IF(COUNT(C75:AU75)=0,"",COUNT(C75:AU75))</f>
        <v/>
      </c>
      <c r="AX75" s="95" t="n"/>
      <c r="AY75" s="93" t="n"/>
      <c r="AZ75" s="93" t="n"/>
      <c r="BA75" s="93" t="n"/>
      <c r="BB75" s="93" t="n"/>
      <c r="BC75" s="93" t="n"/>
      <c r="BD75" s="93" t="n"/>
      <c r="BE75" s="93" t="n"/>
      <c r="BF75" s="93" t="n"/>
      <c r="BG75" s="93" t="n"/>
      <c r="BH75" s="93" t="n"/>
      <c r="BI75" s="93" t="n"/>
      <c r="BJ75" s="93" t="n"/>
      <c r="BK75" s="93" t="n"/>
      <c r="BL75" s="93" t="n"/>
      <c r="BM75" s="93" t="n"/>
      <c r="BN75" s="93" t="n"/>
      <c r="BO75" s="93" t="n"/>
      <c r="BP75" s="93" t="n"/>
      <c r="BQ75" s="93" t="n"/>
      <c r="BR75" s="93" t="n"/>
      <c r="BS75" s="93" t="n"/>
      <c r="BT75" s="93" t="n"/>
      <c r="BU75" s="93">
        <f>MAX(AW73:AW75)</f>
        <v/>
      </c>
      <c r="BV75" s="93" t="n"/>
      <c r="BW75" s="93" t="n"/>
      <c r="BX75" s="93" t="n"/>
      <c r="BY75" s="93" t="n"/>
      <c r="BZ75" s="93" t="n"/>
    </row>
    <row r="76">
      <c r="B76" s="95" t="n"/>
      <c r="AP76" s="96" t="n"/>
      <c r="AQ76" s="96" t="n"/>
      <c r="AW76" s="93">
        <f>IF(COUNT(C76:AU76)=0,"",COUNT(C76:AU76))</f>
        <v/>
      </c>
      <c r="AX76" s="104" t="n"/>
    </row>
    <row r="77">
      <c r="B77" s="95" t="n"/>
      <c r="AP77" s="96" t="n"/>
      <c r="AQ77" s="96" t="n"/>
      <c r="AW77" s="93">
        <f>IF(COUNT(C77:AU77)=0,"",COUNT(C77:AU77))</f>
        <v/>
      </c>
      <c r="AX77" s="104" t="n"/>
    </row>
    <row r="78">
      <c r="B78" s="95" t="n"/>
      <c r="AP78" s="96" t="n"/>
      <c r="AQ78" s="96" t="n"/>
      <c r="AW78" s="93">
        <f>IF(COUNT(C78:AU78)=0,"",COUNT(C78:AU78))</f>
        <v/>
      </c>
      <c r="AX78" s="104" t="n"/>
    </row>
    <row r="79">
      <c r="A79" s="93" t="inlineStr">
        <is>
          <t>The Whole Truth</t>
        </is>
      </c>
      <c r="B79" s="95">
        <f>IFERROR(ROUND(AVERAGE(C79:AU79),2),"")</f>
        <v/>
      </c>
      <c r="C79" s="93" t="n">
        <v>9</v>
      </c>
      <c r="D79" s="93" t="n">
        <v>7</v>
      </c>
      <c r="E79" s="93" t="n">
        <v>8</v>
      </c>
      <c r="F79" s="93" t="n">
        <v>7.5</v>
      </c>
      <c r="G79" s="93" t="n">
        <v>8</v>
      </c>
      <c r="H79" s="93" t="n"/>
      <c r="I79" s="93" t="n">
        <v>5.5</v>
      </c>
      <c r="J79" s="93" t="n"/>
      <c r="K79" s="93" t="n">
        <v>8</v>
      </c>
      <c r="L79" s="93" t="n"/>
      <c r="M79" s="93" t="n"/>
      <c r="N79" s="93" t="n">
        <v>5</v>
      </c>
      <c r="O79" s="93" t="n"/>
      <c r="P79" s="93" t="n"/>
      <c r="Q79" s="93" t="n"/>
      <c r="R79" s="93" t="n"/>
      <c r="S79" s="93" t="n"/>
      <c r="T79" s="93" t="n"/>
      <c r="U79" s="93" t="n"/>
      <c r="V79" s="93" t="n"/>
      <c r="W79" s="93" t="n"/>
      <c r="X79" s="93" t="n"/>
      <c r="Y79" s="93" t="n"/>
      <c r="Z79" s="93" t="n"/>
      <c r="AA79" s="93" t="n"/>
      <c r="AB79" s="93" t="n"/>
      <c r="AC79" s="93" t="n"/>
      <c r="AD79" s="93" t="n"/>
      <c r="AE79" s="93" t="n"/>
      <c r="AF79" s="93" t="n"/>
      <c r="AG79" s="93" t="n"/>
      <c r="AH79" s="93" t="n"/>
      <c r="AI79" s="93" t="n"/>
      <c r="AJ79" s="93" t="n"/>
      <c r="AK79" s="93" t="n"/>
      <c r="AL79" s="93" t="n"/>
      <c r="AM79" s="93" t="n"/>
      <c r="AN79" s="93" t="n"/>
      <c r="AP79" s="94" t="n"/>
      <c r="AQ79" s="94" t="n"/>
      <c r="AR79" s="93" t="n"/>
      <c r="AS79" s="93" t="n"/>
      <c r="AT79" s="93" t="n"/>
      <c r="AU79" s="93" t="n"/>
      <c r="AV79" s="93" t="n"/>
      <c r="AW79" s="93">
        <f>IF(COUNT(C79:AU79)=0,"",COUNT(C79:AU79))</f>
        <v/>
      </c>
      <c r="AX79" s="95" t="n"/>
      <c r="AY79" s="93" t="n"/>
      <c r="AZ79" s="93" t="n"/>
      <c r="BA79" s="93" t="n"/>
      <c r="BB79" s="93" t="n"/>
      <c r="BC79" s="93" t="n"/>
      <c r="BD79" s="93" t="n"/>
      <c r="BE79" s="93" t="n"/>
      <c r="BF79" s="93" t="n"/>
      <c r="BG79" s="93" t="n"/>
      <c r="BH79" s="93" t="n"/>
      <c r="BI79" s="93" t="n"/>
      <c r="BJ79" s="93" t="n"/>
      <c r="BK79" s="93" t="n"/>
      <c r="BL79" s="93" t="n"/>
      <c r="BM79" s="93" t="n"/>
      <c r="BN79" s="93" t="n"/>
      <c r="BO79" s="93" t="n"/>
      <c r="BP79" s="93" t="n"/>
      <c r="BQ79" s="93" t="n"/>
      <c r="BR79" s="93" t="n"/>
      <c r="BS79" s="93" t="n"/>
      <c r="BT79" s="93" t="n"/>
      <c r="BU79" s="93" t="n"/>
      <c r="BV79" s="93" t="n"/>
      <c r="BW79" s="93" t="n"/>
      <c r="BX79" s="93" t="n"/>
      <c r="BY79" s="93" t="n"/>
      <c r="BZ79" s="93" t="n"/>
    </row>
    <row r="80">
      <c r="A80" s="93" t="inlineStr">
        <is>
          <t>Killer Sofa</t>
        </is>
      </c>
      <c r="B80" s="95">
        <f>IFERROR(ROUND(AVERAGE(C80:AU80),2),"")</f>
        <v/>
      </c>
      <c r="C80" s="93" t="n">
        <v>5</v>
      </c>
      <c r="D80" s="93" t="n">
        <v>5</v>
      </c>
      <c r="E80" s="93" t="n">
        <v>10</v>
      </c>
      <c r="F80" s="93" t="n">
        <v>9</v>
      </c>
      <c r="G80" s="93" t="n">
        <v>5</v>
      </c>
      <c r="H80" s="93" t="n"/>
      <c r="I80" s="93" t="n">
        <v>6.5</v>
      </c>
      <c r="J80" s="93" t="n"/>
      <c r="K80" s="93" t="n">
        <v>10</v>
      </c>
      <c r="L80" s="93" t="n"/>
      <c r="M80" s="93" t="n"/>
      <c r="N80" s="93" t="n">
        <v>7</v>
      </c>
      <c r="O80" s="93" t="n"/>
      <c r="P80" s="93" t="n"/>
      <c r="Q80" s="93" t="n"/>
      <c r="R80" s="93" t="n"/>
      <c r="S80" s="93" t="n"/>
      <c r="T80" s="93" t="n"/>
      <c r="U80" s="93" t="n"/>
      <c r="V80" s="93" t="n"/>
      <c r="W80" s="93" t="n"/>
      <c r="X80" s="93" t="n"/>
      <c r="Y80" s="93" t="n"/>
      <c r="Z80" s="93" t="n"/>
      <c r="AA80" s="93" t="n"/>
      <c r="AB80" s="93" t="n"/>
      <c r="AC80" s="93" t="n"/>
      <c r="AD80" s="93" t="n"/>
      <c r="AE80" s="93" t="n"/>
      <c r="AF80" s="93" t="n"/>
      <c r="AG80" s="93" t="n"/>
      <c r="AH80" s="93" t="n"/>
      <c r="AI80" s="93" t="n"/>
      <c r="AJ80" s="93" t="n"/>
      <c r="AK80" s="93" t="n"/>
      <c r="AL80" s="93" t="n"/>
      <c r="AM80" s="93" t="n"/>
      <c r="AN80" s="93" t="n"/>
      <c r="AP80" s="94" t="n"/>
      <c r="AQ80" s="94" t="n"/>
      <c r="AR80" s="93" t="n"/>
      <c r="AS80" s="93" t="n"/>
      <c r="AT80" s="93" t="n"/>
      <c r="AU80" s="93" t="n"/>
      <c r="AV80" s="93" t="n"/>
      <c r="AW80" s="93">
        <f>IF(COUNT(C80:AU80)=0,"",COUNT(C80:AU80))</f>
        <v/>
      </c>
      <c r="AX80" s="95" t="n"/>
      <c r="AY80" s="93" t="n"/>
      <c r="AZ80" s="93" t="n"/>
      <c r="BA80" s="93" t="n"/>
      <c r="BB80" s="93" t="n"/>
      <c r="BC80" s="93" t="n"/>
      <c r="BD80" s="93" t="n"/>
      <c r="BE80" s="93" t="n"/>
      <c r="BF80" s="93" t="n"/>
      <c r="BG80" s="93" t="n"/>
      <c r="BH80" s="93" t="n"/>
      <c r="BI80" s="93" t="n"/>
      <c r="BJ80" s="93" t="n"/>
      <c r="BK80" s="93" t="n"/>
      <c r="BL80" s="93" t="n"/>
      <c r="BM80" s="93" t="n"/>
      <c r="BN80" s="93" t="n"/>
      <c r="BO80" s="93" t="n"/>
      <c r="BP80" s="93" t="n"/>
      <c r="BQ80" s="93" t="n"/>
      <c r="BR80" s="93" t="n"/>
      <c r="BS80" s="93" t="n"/>
      <c r="BT80" s="93" t="n"/>
      <c r="BU80" s="93" t="n"/>
      <c r="BV80" s="93" t="n"/>
      <c r="BW80" s="93" t="n"/>
      <c r="BX80" s="93" t="n"/>
      <c r="BY80" s="93" t="n"/>
      <c r="BZ80" s="93" t="n"/>
    </row>
    <row r="81">
      <c r="A81" s="93" t="inlineStr">
        <is>
          <t>Riaru Onigokko (TAG)</t>
        </is>
      </c>
      <c r="B81" s="95">
        <f>IFERROR(ROUND(AVERAGE(C81:AU81),2),"")</f>
        <v/>
      </c>
      <c r="C81" s="93" t="n">
        <v>9</v>
      </c>
      <c r="D81" s="93" t="n">
        <v>5</v>
      </c>
      <c r="E81" s="93" t="n">
        <v>6.5</v>
      </c>
      <c r="F81" s="93" t="n">
        <v>6</v>
      </c>
      <c r="G81" s="93" t="n">
        <v>6</v>
      </c>
      <c r="H81" s="93" t="n"/>
      <c r="I81" s="93" t="n">
        <v>7.5</v>
      </c>
      <c r="J81" s="93" t="n"/>
      <c r="K81" s="93" t="n">
        <v>6</v>
      </c>
      <c r="L81" s="93" t="n"/>
      <c r="M81" s="93" t="n"/>
      <c r="N81" s="93" t="n">
        <v>5</v>
      </c>
      <c r="O81" s="93" t="n"/>
      <c r="P81" s="93" t="n"/>
      <c r="Q81" s="93" t="n"/>
      <c r="R81" s="93" t="n"/>
      <c r="S81" s="93" t="n"/>
      <c r="T81" s="93" t="n"/>
      <c r="U81" s="93" t="n"/>
      <c r="V81" s="93" t="n"/>
      <c r="W81" s="93" t="n"/>
      <c r="X81" s="93" t="n"/>
      <c r="Y81" s="93" t="n"/>
      <c r="Z81" s="93" t="n"/>
      <c r="AA81" s="93" t="n"/>
      <c r="AB81" s="93" t="n"/>
      <c r="AC81" s="93" t="n"/>
      <c r="AD81" s="93" t="n"/>
      <c r="AE81" s="93" t="n"/>
      <c r="AF81" s="93" t="n"/>
      <c r="AG81" s="93" t="n"/>
      <c r="AH81" s="93" t="n"/>
      <c r="AI81" s="93" t="n"/>
      <c r="AJ81" s="93" t="n"/>
      <c r="AK81" s="93" t="n"/>
      <c r="AL81" s="93" t="n"/>
      <c r="AM81" s="93" t="n"/>
      <c r="AN81" s="93" t="n"/>
      <c r="AP81" s="94" t="n"/>
      <c r="AQ81" s="94" t="n"/>
      <c r="AR81" s="93" t="n"/>
      <c r="AS81" s="93" t="n"/>
      <c r="AT81" s="93" t="n"/>
      <c r="AU81" s="93" t="n"/>
      <c r="AV81" s="93" t="n"/>
      <c r="AW81" s="93">
        <f>IF(COUNT(C81:AU81)=0,"",COUNT(C81:AU81))</f>
        <v/>
      </c>
      <c r="AX81" s="95" t="n"/>
      <c r="AY81" s="93" t="n"/>
      <c r="AZ81" s="93" t="n"/>
      <c r="BA81" s="93" t="n"/>
      <c r="BB81" s="93" t="n"/>
      <c r="BC81" s="93" t="n"/>
      <c r="BD81" s="93" t="n"/>
      <c r="BE81" s="93" t="n"/>
      <c r="BF81" s="93" t="n"/>
      <c r="BG81" s="93" t="n"/>
      <c r="BH81" s="93" t="n"/>
      <c r="BI81" s="93" t="n"/>
      <c r="BJ81" s="93" t="n"/>
      <c r="BK81" s="93" t="n"/>
      <c r="BL81" s="93" t="n"/>
      <c r="BM81" s="93" t="n"/>
      <c r="BN81" s="93" t="n"/>
      <c r="BO81" s="93" t="n"/>
      <c r="BP81" s="93" t="n"/>
      <c r="BQ81" s="93" t="n"/>
      <c r="BR81" s="93" t="n"/>
      <c r="BS81" s="93" t="n"/>
      <c r="BT81" s="93" t="n"/>
      <c r="BU81" s="93">
        <f>MAX(AW79:AW81)</f>
        <v/>
      </c>
      <c r="BV81" s="93" t="n"/>
      <c r="BW81" s="93" t="n"/>
      <c r="BX81" s="93" t="n"/>
      <c r="BY81" s="93" t="n"/>
      <c r="BZ81" s="93" t="n"/>
    </row>
    <row r="82">
      <c r="B82" s="95" t="n"/>
      <c r="AP82" s="96" t="n"/>
      <c r="AQ82" s="96" t="n"/>
      <c r="AW82" s="93">
        <f>IF(COUNT(C82:AU82)=0,"",COUNT(C82:AU82))</f>
        <v/>
      </c>
      <c r="AX82" s="104" t="n"/>
    </row>
    <row r="83">
      <c r="B83" s="95" t="n"/>
      <c r="AP83" s="96" t="n"/>
      <c r="AQ83" s="96" t="n"/>
      <c r="AW83" s="93">
        <f>IF(COUNT(C83:AU83)=0,"",COUNT(C83:AU83))</f>
        <v/>
      </c>
      <c r="AX83" s="104" t="n"/>
    </row>
    <row r="84">
      <c r="A84" s="93" t="inlineStr">
        <is>
          <t>boy behind the door</t>
        </is>
      </c>
      <c r="B84" s="95">
        <f>IFERROR(ROUND(AVERAGE(C84:AU84),2),"")</f>
        <v/>
      </c>
      <c r="C84" s="93" t="n">
        <v>4</v>
      </c>
      <c r="D84" s="93" t="n">
        <v>5</v>
      </c>
      <c r="E84" s="93" t="n">
        <v>6.5</v>
      </c>
      <c r="F84" s="93" t="n">
        <v>5</v>
      </c>
      <c r="G84" s="93" t="n"/>
      <c r="H84" s="93" t="n"/>
      <c r="I84" s="93" t="n"/>
      <c r="J84" s="93" t="n"/>
      <c r="K84" s="93" t="n"/>
      <c r="L84" s="93" t="n"/>
      <c r="M84" s="93" t="n"/>
      <c r="N84" s="93" t="n">
        <v>6.5</v>
      </c>
      <c r="O84" s="93" t="n"/>
      <c r="P84" s="93" t="n">
        <v>4.5</v>
      </c>
      <c r="Q84" s="93" t="n"/>
      <c r="R84" s="93" t="n">
        <v>5</v>
      </c>
      <c r="S84" s="93" t="n"/>
      <c r="T84" s="93" t="n"/>
      <c r="U84" s="93" t="n"/>
      <c r="V84" s="93" t="n"/>
      <c r="W84" s="93" t="n"/>
      <c r="X84" s="93" t="n"/>
      <c r="Y84" s="93" t="n"/>
      <c r="Z84" s="93" t="n"/>
      <c r="AA84" s="93" t="n"/>
      <c r="AB84" s="93" t="n"/>
      <c r="AC84" s="93" t="n"/>
      <c r="AD84" s="93" t="n"/>
      <c r="AE84" s="93" t="n">
        <v>7.5</v>
      </c>
      <c r="AF84" s="93" t="n"/>
      <c r="AG84" s="93" t="n"/>
      <c r="AH84" s="93" t="n"/>
      <c r="AI84" s="93" t="n">
        <v>5.5</v>
      </c>
      <c r="AJ84" s="93" t="n">
        <v>6</v>
      </c>
      <c r="AK84" s="93" t="n">
        <v>5</v>
      </c>
      <c r="AL84" s="93" t="n">
        <v>5</v>
      </c>
      <c r="AM84" s="93" t="n"/>
      <c r="AN84" s="93" t="n"/>
      <c r="AP84" s="94" t="n"/>
      <c r="AQ84" s="94" t="n"/>
      <c r="AR84" s="93" t="n"/>
      <c r="AS84" s="93" t="n"/>
      <c r="AT84" s="93" t="n"/>
      <c r="AU84" s="93" t="n"/>
      <c r="AV84" s="93" t="n"/>
      <c r="AW84" s="93">
        <f>IF(COUNT(C84:AU84)=0,"",COUNT(C84:AU84))</f>
        <v/>
      </c>
      <c r="AX84" s="95" t="n"/>
      <c r="AY84" s="93" t="n"/>
      <c r="AZ84" s="93" t="n"/>
      <c r="BA84" s="93" t="n"/>
      <c r="BB84" s="93" t="n"/>
      <c r="BC84" s="93" t="n"/>
      <c r="BD84" s="93" t="n"/>
      <c r="BE84" s="93" t="n"/>
      <c r="BF84" s="93" t="n"/>
      <c r="BG84" s="93" t="n"/>
      <c r="BH84" s="93" t="n"/>
      <c r="BI84" s="93" t="n"/>
      <c r="BJ84" s="93" t="n"/>
      <c r="BK84" s="93" t="n"/>
      <c r="BL84" s="93" t="n"/>
      <c r="BM84" s="93" t="n"/>
      <c r="BN84" s="93" t="n"/>
      <c r="BO84" s="93" t="n"/>
      <c r="BP84" s="93" t="n"/>
      <c r="BQ84" s="93" t="n"/>
      <c r="BR84" s="93" t="n"/>
      <c r="BS84" s="93" t="n"/>
      <c r="BT84" s="93" t="n"/>
      <c r="BU84" s="93" t="n"/>
      <c r="BV84" s="93" t="n"/>
      <c r="BW84" s="93" t="n"/>
      <c r="BX84" s="93" t="n"/>
      <c r="BY84" s="93" t="n"/>
      <c r="BZ84" s="93" t="n"/>
    </row>
    <row r="85">
      <c r="A85" s="93" t="inlineStr">
        <is>
          <t>cleansing hour</t>
        </is>
      </c>
      <c r="B85" s="95">
        <f>IFERROR(ROUND(AVERAGE(C85:AU85),2),"")</f>
        <v/>
      </c>
      <c r="C85" s="93" t="n">
        <v>9</v>
      </c>
      <c r="D85" s="93" t="n">
        <v>6.5</v>
      </c>
      <c r="E85" s="93" t="n">
        <v>9</v>
      </c>
      <c r="F85" s="93" t="n">
        <v>7</v>
      </c>
      <c r="G85" s="93" t="n"/>
      <c r="H85" s="93" t="n">
        <v>5</v>
      </c>
      <c r="I85" s="93" t="n"/>
      <c r="J85" s="93" t="n"/>
      <c r="K85" s="93" t="n"/>
      <c r="L85" s="93" t="n"/>
      <c r="M85" s="93" t="n"/>
      <c r="N85" s="93" t="n">
        <v>7</v>
      </c>
      <c r="O85" s="93" t="n">
        <v>6</v>
      </c>
      <c r="P85" s="93" t="n">
        <v>7</v>
      </c>
      <c r="Q85" s="93" t="n"/>
      <c r="R85" s="93" t="n">
        <v>7</v>
      </c>
      <c r="S85" s="93" t="n"/>
      <c r="T85" s="93" t="n"/>
      <c r="U85" s="93" t="n">
        <v>3</v>
      </c>
      <c r="V85" s="93" t="n"/>
      <c r="W85" s="93" t="n"/>
      <c r="X85" s="93" t="n"/>
      <c r="Y85" s="93" t="n"/>
      <c r="Z85" s="93" t="n"/>
      <c r="AA85" s="93" t="n"/>
      <c r="AB85" s="93" t="n"/>
      <c r="AC85" s="93" t="n"/>
      <c r="AD85" s="93" t="n"/>
      <c r="AE85" s="93" t="n">
        <v>3</v>
      </c>
      <c r="AF85" s="93" t="n"/>
      <c r="AG85" s="93" t="n"/>
      <c r="AH85" s="93" t="n"/>
      <c r="AI85" s="93" t="n">
        <v>4.5</v>
      </c>
      <c r="AJ85" s="93" t="n">
        <v>5</v>
      </c>
      <c r="AK85" s="93" t="n">
        <v>6</v>
      </c>
      <c r="AL85" s="93" t="n">
        <v>6</v>
      </c>
      <c r="AM85" s="93" t="n"/>
      <c r="AN85" s="93" t="n"/>
      <c r="AP85" s="94" t="n"/>
      <c r="AQ85" s="94" t="n"/>
      <c r="AR85" s="93" t="n"/>
      <c r="AS85" s="93" t="n"/>
      <c r="AT85" s="93" t="n"/>
      <c r="AU85" s="93" t="n"/>
      <c r="AV85" s="93" t="n"/>
      <c r="AW85" s="93">
        <f>IF(COUNT(C85:AU85)=0,"",COUNT(C85:AU85))</f>
        <v/>
      </c>
      <c r="AX85" s="95" t="n"/>
      <c r="AY85" s="93" t="n"/>
      <c r="AZ85" s="93" t="n"/>
      <c r="BA85" s="93" t="n"/>
      <c r="BB85" s="93" t="n"/>
      <c r="BC85" s="93" t="n"/>
      <c r="BD85" s="93" t="n"/>
      <c r="BE85" s="93" t="n"/>
      <c r="BF85" s="93" t="n"/>
      <c r="BG85" s="93" t="n"/>
      <c r="BH85" s="93" t="n"/>
      <c r="BI85" s="93" t="n"/>
      <c r="BJ85" s="93" t="n"/>
      <c r="BK85" s="93" t="n"/>
      <c r="BL85" s="93" t="n"/>
      <c r="BM85" s="93" t="n"/>
      <c r="BN85" s="93" t="n"/>
      <c r="BO85" s="93" t="n"/>
      <c r="BP85" s="93" t="n"/>
      <c r="BQ85" s="93" t="n"/>
      <c r="BR85" s="93" t="n"/>
      <c r="BS85" s="93" t="n"/>
      <c r="BT85" s="93" t="n"/>
      <c r="BU85" s="93" t="n"/>
      <c r="BV85" s="93" t="n"/>
      <c r="BW85" s="93" t="n"/>
      <c r="BX85" s="93" t="n"/>
      <c r="BY85" s="93" t="n"/>
      <c r="BZ85" s="93" t="n"/>
    </row>
    <row r="86">
      <c r="A86" s="93" t="inlineStr">
        <is>
          <t>terrified (rewatch)</t>
        </is>
      </c>
      <c r="B86" s="95">
        <f>IFERROR(ROUND(AVERAGE(C86:AU86),2),"")</f>
        <v/>
      </c>
      <c r="C86" s="93" t="n">
        <v>10</v>
      </c>
      <c r="D86" s="93" t="n">
        <v>7.5</v>
      </c>
      <c r="E86" s="93" t="n">
        <v>10</v>
      </c>
      <c r="F86" s="93" t="n">
        <v>7</v>
      </c>
      <c r="G86" s="93" t="n"/>
      <c r="H86" s="93" t="n">
        <v>4</v>
      </c>
      <c r="I86" s="93" t="n"/>
      <c r="J86" s="93" t="n"/>
      <c r="K86" s="93" t="n"/>
      <c r="L86" s="93" t="n"/>
      <c r="M86" s="93" t="n"/>
      <c r="N86" s="93" t="n">
        <v>6</v>
      </c>
      <c r="O86" s="93" t="n">
        <v>4.5</v>
      </c>
      <c r="P86" s="93" t="n"/>
      <c r="Q86" s="93" t="n"/>
      <c r="R86" s="93" t="n">
        <v>6</v>
      </c>
      <c r="S86" s="93" t="n"/>
      <c r="T86" s="93" t="n"/>
      <c r="U86" s="93" t="n"/>
      <c r="V86" s="93" t="n"/>
      <c r="W86" s="93" t="n"/>
      <c r="X86" s="93" t="n"/>
      <c r="Y86" s="93" t="n"/>
      <c r="Z86" s="93" t="n"/>
      <c r="AA86" s="93" t="n"/>
      <c r="AB86" s="93" t="n"/>
      <c r="AC86" s="93" t="n"/>
      <c r="AD86" s="93" t="n"/>
      <c r="AE86" s="93" t="n"/>
      <c r="AF86" s="93" t="n"/>
      <c r="AG86" s="93" t="n"/>
      <c r="AH86" s="93" t="n"/>
      <c r="AI86" s="93" t="n">
        <v>7</v>
      </c>
      <c r="AJ86" s="93" t="n">
        <v>6</v>
      </c>
      <c r="AK86" s="93" t="n">
        <v>5</v>
      </c>
      <c r="AL86" s="93" t="n">
        <v>4</v>
      </c>
      <c r="AM86" s="93" t="n"/>
      <c r="AN86" s="93" t="n"/>
      <c r="AP86" s="94" t="n"/>
      <c r="AQ86" s="94" t="n"/>
      <c r="AR86" s="93" t="n"/>
      <c r="AS86" s="93" t="n"/>
      <c r="AT86" s="93" t="n"/>
      <c r="AU86" s="93" t="n"/>
      <c r="AV86" s="93" t="n"/>
      <c r="AW86" s="93">
        <f>IF(COUNT(C86:AU86)=0,"",COUNT(C86:AU86))</f>
        <v/>
      </c>
      <c r="AX86" s="95" t="n"/>
      <c r="AY86" s="93" t="n"/>
      <c r="AZ86" s="93" t="n"/>
      <c r="BA86" s="93" t="n"/>
      <c r="BB86" s="93" t="n"/>
      <c r="BC86" s="93" t="n"/>
      <c r="BD86" s="93" t="n"/>
      <c r="BE86" s="93" t="n"/>
      <c r="BF86" s="93" t="n"/>
      <c r="BG86" s="93" t="n"/>
      <c r="BH86" s="93" t="n"/>
      <c r="BI86" s="93" t="n"/>
      <c r="BJ86" s="93" t="n"/>
      <c r="BK86" s="93" t="n"/>
      <c r="BL86" s="93" t="n"/>
      <c r="BM86" s="93" t="n"/>
      <c r="BN86" s="93" t="n"/>
      <c r="BO86" s="93" t="n"/>
      <c r="BP86" s="93" t="n"/>
      <c r="BQ86" s="93" t="n"/>
      <c r="BR86" s="93" t="n"/>
      <c r="BS86" s="93" t="n"/>
      <c r="BT86" s="93" t="n"/>
      <c r="BU86" s="93">
        <f>MAX(AW84:AW86)</f>
        <v/>
      </c>
      <c r="BV86" s="93" t="n"/>
      <c r="BW86" s="93" t="n"/>
      <c r="BX86" s="93" t="n"/>
      <c r="BY86" s="93" t="n"/>
      <c r="BZ86" s="93" t="n"/>
    </row>
    <row r="87">
      <c r="B87" s="95" t="n"/>
      <c r="AP87" s="96" t="n"/>
      <c r="AQ87" s="96" t="n"/>
      <c r="AW87" s="93">
        <f>IF(COUNT(C87:AU87)=0,"",COUNT(C87:AU87))</f>
        <v/>
      </c>
      <c r="AX87" s="104">
        <f>IF(AND(COUNT(C87:AN87) &lt;4,COUNT(C87:AN87) &lt;&gt; 0),"za mało danych",IFERROR(ROUND(AVERAGE(C87:AN87),2),""))</f>
        <v/>
      </c>
    </row>
    <row r="88">
      <c r="B88" s="95" t="n"/>
      <c r="AP88" s="96" t="n"/>
      <c r="AQ88" s="96" t="n"/>
      <c r="AW88" s="93">
        <f>IF(COUNT(C88:AU88)=0,"",COUNT(C88:AU88))</f>
        <v/>
      </c>
      <c r="AX88" s="104">
        <f>IF(AND(COUNT(C88:AN88) &lt;4,COUNT(C88:AN88) &lt;&gt; 0),"za mało danych",IFERROR(ROUND(AVERAGE(C88:AN88),2),""))</f>
        <v/>
      </c>
    </row>
    <row r="89">
      <c r="A89" s="93" t="inlineStr">
        <is>
          <t>pay the ghost</t>
        </is>
      </c>
      <c r="B89" s="95">
        <f>IFERROR(ROUND(AVERAGE(C89:AU89),2),"")</f>
        <v/>
      </c>
      <c r="C89" s="93" t="n">
        <v>1</v>
      </c>
      <c r="D89" s="93" t="n">
        <v>6</v>
      </c>
      <c r="E89" s="93" t="n"/>
      <c r="F89" s="93" t="n">
        <v>3</v>
      </c>
      <c r="G89" s="93" t="n">
        <v>5</v>
      </c>
      <c r="H89" s="93" t="n"/>
      <c r="I89" s="93" t="n">
        <v>2</v>
      </c>
      <c r="J89" s="93" t="n">
        <v>3</v>
      </c>
      <c r="K89" s="93" t="n"/>
      <c r="L89" s="93" t="n">
        <v>2</v>
      </c>
      <c r="M89" s="93" t="n"/>
      <c r="N89" s="93" t="n"/>
      <c r="O89" s="93" t="n"/>
      <c r="P89" s="93" t="n"/>
      <c r="Q89" s="93" t="n"/>
      <c r="R89" s="93" t="n">
        <v>2</v>
      </c>
      <c r="S89" s="93" t="n"/>
      <c r="T89" s="93" t="n"/>
      <c r="U89" s="93" t="n"/>
      <c r="V89" s="93" t="n"/>
      <c r="W89" s="93" t="n"/>
      <c r="X89" s="93" t="n"/>
      <c r="Y89" s="93" t="n"/>
      <c r="Z89" s="93" t="n"/>
      <c r="AA89" s="93" t="n"/>
      <c r="AB89" s="93" t="n"/>
      <c r="AC89" s="93" t="n"/>
      <c r="AD89" s="93" t="n"/>
      <c r="AE89" s="93" t="n"/>
      <c r="AF89" s="93" t="n"/>
      <c r="AG89" s="93" t="n"/>
      <c r="AH89" s="93" t="n"/>
      <c r="AI89" s="93" t="n"/>
      <c r="AJ89" s="93" t="n"/>
      <c r="AK89" s="93" t="n"/>
      <c r="AL89" s="93" t="n"/>
      <c r="AM89" s="93" t="n"/>
      <c r="AN89" s="93" t="n"/>
      <c r="AP89" s="94" t="n"/>
      <c r="AQ89" s="94" t="n"/>
      <c r="AR89" s="93" t="n"/>
      <c r="AS89" s="93" t="n"/>
      <c r="AT89" s="93" t="n"/>
      <c r="AU89" s="93" t="n"/>
      <c r="AV89" s="93" t="n"/>
      <c r="AW89" s="93">
        <f>IF(COUNT(C89:AU89)=0,"",COUNT(C89:AU89))</f>
        <v/>
      </c>
      <c r="AX89" s="95" t="n"/>
      <c r="AY89" s="93" t="n"/>
      <c r="AZ89" s="93" t="n"/>
      <c r="BA89" s="93" t="n"/>
      <c r="BB89" s="93" t="n"/>
      <c r="BC89" s="93" t="n"/>
      <c r="BD89" s="93" t="n"/>
      <c r="BE89" s="93" t="n"/>
      <c r="BF89" s="93" t="n"/>
      <c r="BG89" s="93" t="n"/>
      <c r="BH89" s="93" t="n"/>
      <c r="BI89" s="93" t="n"/>
      <c r="BJ89" s="93" t="n"/>
      <c r="BK89" s="93" t="n"/>
      <c r="BL89" s="93" t="n"/>
      <c r="BM89" s="93" t="n"/>
      <c r="BN89" s="93" t="n"/>
      <c r="BO89" s="93" t="n"/>
      <c r="BP89" s="93" t="n"/>
      <c r="BQ89" s="93" t="n"/>
      <c r="BR89" s="93" t="n"/>
      <c r="BS89" s="93" t="n"/>
      <c r="BT89" s="93" t="n"/>
      <c r="BU89" s="93" t="n"/>
      <c r="BV89" s="93" t="n"/>
      <c r="BW89" s="93" t="n"/>
      <c r="BX89" s="93" t="n"/>
      <c r="BY89" s="93" t="n"/>
      <c r="BZ89" s="93" t="n"/>
    </row>
    <row r="90">
      <c r="A90" s="93" t="inlineStr">
        <is>
          <t>prisoners of the ghost land</t>
        </is>
      </c>
      <c r="B90" s="95">
        <f>IFERROR(ROUND(AVERAGE(C90:AU90),2),"")</f>
        <v/>
      </c>
      <c r="C90" s="93" t="n">
        <v>6.5</v>
      </c>
      <c r="D90" s="93" t="n">
        <v>2</v>
      </c>
      <c r="E90" s="93" t="n">
        <v>1</v>
      </c>
      <c r="F90" s="93" t="n">
        <v>3</v>
      </c>
      <c r="G90" s="93" t="n">
        <v>3.5</v>
      </c>
      <c r="H90" s="93" t="n">
        <v>9</v>
      </c>
      <c r="I90" s="93" t="n">
        <v>4</v>
      </c>
      <c r="J90" s="93" t="n">
        <v>6</v>
      </c>
      <c r="K90" s="93" t="n">
        <v>3</v>
      </c>
      <c r="L90" s="93" t="n">
        <v>1</v>
      </c>
      <c r="M90" s="93" t="n"/>
      <c r="N90" s="93" t="n"/>
      <c r="O90" s="93" t="n">
        <v>3</v>
      </c>
      <c r="P90" s="93" t="n"/>
      <c r="Q90" s="93" t="n"/>
      <c r="R90" s="93" t="n">
        <v>4</v>
      </c>
      <c r="S90" s="93" t="n"/>
      <c r="T90" s="93" t="n"/>
      <c r="U90" s="93" t="n"/>
      <c r="V90" s="93" t="n"/>
      <c r="W90" s="93" t="n"/>
      <c r="X90" s="93" t="n"/>
      <c r="Y90" s="93" t="n"/>
      <c r="Z90" s="93" t="n"/>
      <c r="AA90" s="93" t="n"/>
      <c r="AB90" s="93" t="n"/>
      <c r="AC90" s="93" t="n"/>
      <c r="AD90" s="93" t="n"/>
      <c r="AE90" s="93" t="n"/>
      <c r="AF90" s="93" t="n"/>
      <c r="AG90" s="93" t="n"/>
      <c r="AH90" s="93" t="n"/>
      <c r="AI90" s="93" t="n"/>
      <c r="AJ90" s="93" t="n"/>
      <c r="AK90" s="93" t="n"/>
      <c r="AL90" s="93" t="n"/>
      <c r="AM90" s="93" t="n">
        <v>4</v>
      </c>
      <c r="AN90" s="93" t="n">
        <v>2</v>
      </c>
      <c r="AP90" s="94" t="n"/>
      <c r="AQ90" s="94" t="n"/>
      <c r="AR90" s="93" t="n"/>
      <c r="AS90" s="93" t="n"/>
      <c r="AT90" s="93" t="n"/>
      <c r="AU90" s="93" t="n"/>
      <c r="AV90" s="93" t="n"/>
      <c r="AW90" s="93">
        <f>IF(COUNT(C90:AU90)=0,"",COUNT(C90:AU90))</f>
        <v/>
      </c>
      <c r="AX90" s="95" t="n"/>
      <c r="AY90" s="93" t="n"/>
      <c r="AZ90" s="93" t="n"/>
      <c r="BA90" s="93" t="n"/>
      <c r="BB90" s="93" t="n"/>
      <c r="BC90" s="93" t="n"/>
      <c r="BD90" s="93" t="n"/>
      <c r="BE90" s="93" t="n"/>
      <c r="BF90" s="93" t="n"/>
      <c r="BG90" s="93" t="n"/>
      <c r="BH90" s="93" t="n"/>
      <c r="BI90" s="93" t="n"/>
      <c r="BJ90" s="93" t="n"/>
      <c r="BK90" s="93" t="n"/>
      <c r="BL90" s="93" t="n"/>
      <c r="BM90" s="93" t="n"/>
      <c r="BN90" s="93" t="n"/>
      <c r="BO90" s="93" t="n"/>
      <c r="BP90" s="93" t="n"/>
      <c r="BQ90" s="93" t="n"/>
      <c r="BR90" s="93" t="n"/>
      <c r="BS90" s="93" t="n"/>
      <c r="BT90" s="93" t="n"/>
      <c r="BU90" s="93" t="n"/>
      <c r="BV90" s="93" t="n"/>
      <c r="BW90" s="93" t="n"/>
      <c r="BX90" s="93" t="n"/>
      <c r="BY90" s="93" t="n"/>
      <c r="BZ90" s="93" t="n"/>
    </row>
    <row r="91">
      <c r="A91" s="93" t="inlineStr">
        <is>
          <t>wickerman</t>
        </is>
      </c>
      <c r="B91" s="95">
        <f>IFERROR(ROUND(AVERAGE(C91:AU91),2),"")</f>
        <v/>
      </c>
      <c r="C91" s="93" t="n">
        <v>8</v>
      </c>
      <c r="D91" s="93" t="n">
        <v>4</v>
      </c>
      <c r="E91" s="93" t="n">
        <v>2</v>
      </c>
      <c r="F91" s="93" t="n">
        <v>2</v>
      </c>
      <c r="G91" s="93" t="n">
        <v>6.5</v>
      </c>
      <c r="H91" s="93" t="n">
        <v>5</v>
      </c>
      <c r="I91" s="93" t="n">
        <v>3</v>
      </c>
      <c r="J91" s="93" t="n">
        <v>6</v>
      </c>
      <c r="K91" s="93" t="n"/>
      <c r="L91" s="93" t="n"/>
      <c r="M91" s="93" t="n"/>
      <c r="N91" s="93" t="n"/>
      <c r="O91" s="93" t="n">
        <v>7</v>
      </c>
      <c r="P91" s="93" t="n"/>
      <c r="Q91" s="93" t="n"/>
      <c r="R91" s="93" t="n"/>
      <c r="S91" s="93" t="n"/>
      <c r="T91" s="93" t="n"/>
      <c r="U91" s="93" t="n"/>
      <c r="V91" s="93" t="n"/>
      <c r="W91" s="93" t="n"/>
      <c r="X91" s="93" t="n"/>
      <c r="Y91" s="93" t="n"/>
      <c r="Z91" s="93" t="n"/>
      <c r="AA91" s="93" t="n"/>
      <c r="AB91" s="93" t="n"/>
      <c r="AC91" s="93" t="n"/>
      <c r="AD91" s="93" t="n"/>
      <c r="AE91" s="93" t="n"/>
      <c r="AF91" s="93" t="n"/>
      <c r="AG91" s="93" t="n"/>
      <c r="AH91" s="93" t="n"/>
      <c r="AI91" s="93" t="n"/>
      <c r="AJ91" s="93" t="n"/>
      <c r="AK91" s="93" t="n"/>
      <c r="AL91" s="93" t="n"/>
      <c r="AM91" s="93" t="n">
        <v>3.5</v>
      </c>
      <c r="AN91" s="93" t="n">
        <v>5</v>
      </c>
      <c r="AP91" s="94" t="n"/>
      <c r="AQ91" s="94" t="n"/>
      <c r="AR91" s="93" t="n"/>
      <c r="AS91" s="93" t="n"/>
      <c r="AT91" s="93" t="n"/>
      <c r="AU91" s="93" t="n"/>
      <c r="AV91" s="93" t="n"/>
      <c r="AW91" s="93">
        <f>IF(COUNT(C91:AU91)=0,"",COUNT(C91:AU91))</f>
        <v/>
      </c>
      <c r="AX91" s="95" t="n"/>
      <c r="AY91" s="93" t="n"/>
      <c r="AZ91" s="93" t="n"/>
      <c r="BA91" s="93" t="n"/>
      <c r="BB91" s="93" t="n"/>
      <c r="BC91" s="93" t="n"/>
      <c r="BD91" s="93" t="n"/>
      <c r="BE91" s="93" t="n"/>
      <c r="BF91" s="93" t="n"/>
      <c r="BG91" s="93" t="n"/>
      <c r="BH91" s="93" t="n"/>
      <c r="BI91" s="93" t="n"/>
      <c r="BJ91" s="93" t="n"/>
      <c r="BK91" s="93" t="n"/>
      <c r="BL91" s="93" t="n"/>
      <c r="BM91" s="93" t="n"/>
      <c r="BN91" s="93" t="n"/>
      <c r="BO91" s="93" t="n"/>
      <c r="BP91" s="93" t="n"/>
      <c r="BQ91" s="93" t="n"/>
      <c r="BR91" s="93" t="n"/>
      <c r="BS91" s="93" t="n"/>
      <c r="BT91" s="93" t="n"/>
      <c r="BU91" s="93">
        <f>MAX(AW89:AW91)</f>
        <v/>
      </c>
      <c r="BV91" s="93" t="n"/>
      <c r="BW91" s="93" t="n"/>
      <c r="BX91" s="93" t="n"/>
      <c r="BY91" s="93" t="n"/>
      <c r="BZ91" s="93" t="n"/>
    </row>
    <row r="92">
      <c r="A92" s="107" t="n"/>
      <c r="B92" s="95">
        <f>IFERROR(ROUND(AVERAGE(C92:AU92),2),"")</f>
        <v/>
      </c>
      <c r="C92" s="107" t="n"/>
      <c r="D92" s="107" t="n"/>
      <c r="E92" s="107" t="n"/>
      <c r="F92" s="107" t="n"/>
      <c r="G92" s="107" t="n"/>
      <c r="H92" s="107" t="n"/>
      <c r="I92" s="107" t="n"/>
      <c r="J92" s="107" t="n"/>
      <c r="O92" s="107" t="n"/>
      <c r="AM92" s="107" t="n"/>
      <c r="AN92" s="107" t="n"/>
      <c r="AP92" s="96" t="n"/>
      <c r="AQ92" s="96" t="n"/>
      <c r="AW92" s="93">
        <f>IF(COUNT(C92:AU92)=0,"",COUNT(C92:AU92))</f>
        <v/>
      </c>
      <c r="AX92" s="104" t="n"/>
    </row>
    <row r="93">
      <c r="A93" s="93" t="inlineStr">
        <is>
          <t>robert 1</t>
        </is>
      </c>
      <c r="B93" s="95">
        <f>IFERROR(ROUND(AVERAGE(C93:AU93),2),"")</f>
        <v/>
      </c>
      <c r="C93" s="93" t="n">
        <v>2</v>
      </c>
      <c r="D93" s="93" t="n">
        <v>4</v>
      </c>
      <c r="E93" s="93" t="n">
        <v>3</v>
      </c>
      <c r="F93" s="93" t="n">
        <v>3</v>
      </c>
      <c r="G93" s="93" t="n">
        <v>3.5</v>
      </c>
      <c r="H93" s="93" t="n"/>
      <c r="I93" s="93" t="n"/>
      <c r="J93" s="93" t="n">
        <v>1</v>
      </c>
      <c r="K93" s="93" t="n"/>
      <c r="L93" s="93" t="n">
        <v>3</v>
      </c>
      <c r="M93" s="93" t="n"/>
      <c r="N93" s="93" t="n"/>
      <c r="O93" s="93" t="n">
        <v>1</v>
      </c>
      <c r="P93" s="93" t="n"/>
      <c r="Q93" s="93" t="n">
        <v>2</v>
      </c>
      <c r="R93" s="93" t="n"/>
      <c r="S93" s="93" t="n"/>
      <c r="T93" s="93" t="n"/>
      <c r="U93" s="93" t="n"/>
      <c r="V93" s="93" t="n"/>
      <c r="W93" s="93" t="n"/>
      <c r="X93" s="93" t="n"/>
      <c r="Y93" s="93" t="n"/>
      <c r="Z93" s="93" t="n"/>
      <c r="AA93" s="93" t="n"/>
      <c r="AB93" s="93" t="n"/>
      <c r="AC93" s="93" t="n"/>
      <c r="AD93" s="93" t="n"/>
      <c r="AE93" s="93" t="n"/>
      <c r="AF93" s="93" t="n"/>
      <c r="AG93" s="93" t="n"/>
      <c r="AH93" s="93" t="n"/>
      <c r="AI93" s="93" t="n"/>
      <c r="AJ93" s="93" t="n"/>
      <c r="AK93" s="93" t="n"/>
      <c r="AL93" s="93" t="n"/>
      <c r="AM93" s="93" t="n"/>
      <c r="AN93" s="93" t="n"/>
      <c r="AP93" s="94" t="n"/>
      <c r="AQ93" s="94" t="n"/>
      <c r="AR93" s="93" t="n"/>
      <c r="AS93" s="93" t="n"/>
      <c r="AT93" s="93" t="n"/>
      <c r="AU93" s="93" t="n"/>
      <c r="AV93" s="93" t="n"/>
      <c r="AW93" s="93">
        <f>IF(COUNT(C93:AU93)=0,"",COUNT(C93:AU93))</f>
        <v/>
      </c>
      <c r="AX93" s="95" t="n"/>
      <c r="AY93" s="93" t="n"/>
      <c r="AZ93" s="93" t="n"/>
      <c r="BA93" s="93" t="n"/>
      <c r="BB93" s="93" t="n"/>
      <c r="BC93" s="93" t="n"/>
      <c r="BD93" s="93" t="n"/>
      <c r="BE93" s="93" t="n"/>
      <c r="BF93" s="93" t="n"/>
      <c r="BG93" s="93" t="n"/>
      <c r="BH93" s="93" t="n"/>
      <c r="BI93" s="93" t="n"/>
      <c r="BJ93" s="93" t="n"/>
      <c r="BK93" s="93" t="n"/>
      <c r="BL93" s="93" t="n"/>
      <c r="BM93" s="93" t="n"/>
      <c r="BN93" s="93" t="n"/>
      <c r="BO93" s="93" t="n"/>
      <c r="BP93" s="93" t="n"/>
      <c r="BQ93" s="93" t="n"/>
      <c r="BR93" s="93" t="n"/>
      <c r="BS93" s="93" t="n"/>
      <c r="BT93" s="93" t="n"/>
      <c r="BU93" s="93" t="n"/>
      <c r="BV93" s="93" t="n"/>
      <c r="BW93" s="93" t="n"/>
      <c r="BX93" s="93" t="n"/>
      <c r="BY93" s="93" t="n"/>
      <c r="BZ93" s="93" t="n"/>
    </row>
    <row r="94">
      <c r="A94" s="93" t="inlineStr">
        <is>
          <t>robert 5</t>
        </is>
      </c>
      <c r="B94" s="95">
        <f>IFERROR(ROUND(AVERAGE(C94:AU94),2),"")</f>
        <v/>
      </c>
      <c r="C94" s="93" t="n">
        <v>3</v>
      </c>
      <c r="D94" s="93" t="n">
        <v>3</v>
      </c>
      <c r="E94" s="93" t="n">
        <v>3</v>
      </c>
      <c r="F94" s="93" t="n">
        <v>1</v>
      </c>
      <c r="G94" s="93" t="n">
        <v>2</v>
      </c>
      <c r="H94" s="93" t="n"/>
      <c r="I94" s="93" t="n"/>
      <c r="J94" s="93" t="n">
        <v>2</v>
      </c>
      <c r="K94" s="93" t="n"/>
      <c r="L94" s="93" t="n">
        <v>3</v>
      </c>
      <c r="M94" s="93" t="n"/>
      <c r="N94" s="93" t="n"/>
      <c r="O94" s="93" t="n">
        <v>1</v>
      </c>
      <c r="P94" s="93" t="n"/>
      <c r="Q94" s="93" t="n">
        <v>1</v>
      </c>
      <c r="R94" s="93" t="n"/>
      <c r="S94" s="93" t="n"/>
      <c r="T94" s="93" t="n"/>
      <c r="U94" s="93" t="n"/>
      <c r="V94" s="93" t="n"/>
      <c r="W94" s="93" t="n"/>
      <c r="X94" s="93" t="n"/>
      <c r="Y94" s="93" t="n"/>
      <c r="Z94" s="93" t="n"/>
      <c r="AA94" s="93" t="n"/>
      <c r="AB94" s="93" t="n"/>
      <c r="AC94" s="93" t="n"/>
      <c r="AD94" s="93" t="n"/>
      <c r="AE94" s="93" t="n"/>
      <c r="AF94" s="93" t="n"/>
      <c r="AG94" s="93" t="n"/>
      <c r="AH94" s="93" t="n"/>
      <c r="AI94" s="93" t="n"/>
      <c r="AJ94" s="93" t="n"/>
      <c r="AK94" s="93" t="n"/>
      <c r="AL94" s="93" t="n"/>
      <c r="AM94" s="93" t="n">
        <v>1</v>
      </c>
      <c r="AN94" s="93" t="n"/>
      <c r="AP94" s="94" t="n"/>
      <c r="AQ94" s="94" t="n"/>
      <c r="AR94" s="93" t="n"/>
      <c r="AS94" s="93" t="n"/>
      <c r="AT94" s="93" t="n"/>
      <c r="AU94" s="93" t="n"/>
      <c r="AV94" s="93" t="n"/>
      <c r="AW94" s="93">
        <f>IF(COUNT(C94:AU94)=0,"",COUNT(C94:AU94))</f>
        <v/>
      </c>
      <c r="AX94" s="95" t="n"/>
      <c r="AY94" s="93" t="n"/>
      <c r="AZ94" s="93" t="n"/>
      <c r="BA94" s="93" t="n"/>
      <c r="BB94" s="93" t="n"/>
      <c r="BC94" s="93" t="n"/>
      <c r="BD94" s="93" t="n"/>
      <c r="BE94" s="93" t="n"/>
      <c r="BF94" s="93" t="n"/>
      <c r="BG94" s="93" t="n"/>
      <c r="BH94" s="93" t="n"/>
      <c r="BI94" s="93" t="n"/>
      <c r="BJ94" s="93" t="n"/>
      <c r="BK94" s="93" t="n"/>
      <c r="BL94" s="93" t="n"/>
      <c r="BM94" s="93" t="n"/>
      <c r="BN94" s="93" t="n"/>
      <c r="BO94" s="93" t="n"/>
      <c r="BP94" s="93" t="n"/>
      <c r="BQ94" s="93" t="n"/>
      <c r="BR94" s="93" t="n"/>
      <c r="BS94" s="93" t="n"/>
      <c r="BT94" s="93" t="n"/>
      <c r="BU94" s="93" t="n"/>
      <c r="BV94" s="93" t="n"/>
      <c r="BW94" s="93" t="n"/>
      <c r="BX94" s="93" t="n"/>
      <c r="BY94" s="93" t="n"/>
      <c r="BZ94" s="93" t="n"/>
    </row>
    <row r="95">
      <c r="A95" s="93" t="inlineStr">
        <is>
          <t>choose or die</t>
        </is>
      </c>
      <c r="B95" s="95">
        <f>IFERROR(ROUND(AVERAGE(C95:AU95),2),"")</f>
        <v/>
      </c>
      <c r="C95" s="93" t="n">
        <v>5</v>
      </c>
      <c r="D95" s="93" t="n">
        <v>7</v>
      </c>
      <c r="E95" s="93" t="n">
        <v>9</v>
      </c>
      <c r="F95" s="93" t="n">
        <v>6.5</v>
      </c>
      <c r="G95" s="93" t="n">
        <v>7.5</v>
      </c>
      <c r="H95" s="93" t="n">
        <v>5.5</v>
      </c>
      <c r="I95" s="93" t="n"/>
      <c r="J95" s="93" t="n">
        <v>7</v>
      </c>
      <c r="K95" s="93" t="n"/>
      <c r="L95" s="93" t="n">
        <v>7</v>
      </c>
      <c r="M95" s="93" t="n"/>
      <c r="N95" s="93" t="n"/>
      <c r="O95" s="93" t="n">
        <v>7</v>
      </c>
      <c r="P95" s="93" t="n"/>
      <c r="Q95" s="93" t="n">
        <v>5</v>
      </c>
      <c r="R95" s="93" t="n"/>
      <c r="S95" s="93" t="n"/>
      <c r="T95" s="93" t="n"/>
      <c r="U95" s="93" t="n"/>
      <c r="V95" s="93" t="n"/>
      <c r="W95" s="93" t="n"/>
      <c r="X95" s="93" t="n"/>
      <c r="Y95" s="93" t="n"/>
      <c r="Z95" s="93" t="n"/>
      <c r="AA95" s="93" t="n"/>
      <c r="AB95" s="93" t="n"/>
      <c r="AC95" s="93" t="n"/>
      <c r="AD95" s="93" t="n"/>
      <c r="AE95" s="93" t="n"/>
      <c r="AF95" s="93" t="n"/>
      <c r="AG95" s="93" t="n"/>
      <c r="AH95" s="93" t="n"/>
      <c r="AI95" s="93" t="n"/>
      <c r="AJ95" s="93" t="n"/>
      <c r="AK95" s="93" t="n"/>
      <c r="AL95" s="93" t="n"/>
      <c r="AM95" s="93" t="n">
        <v>7</v>
      </c>
      <c r="AN95" s="93" t="n">
        <v>6</v>
      </c>
      <c r="AP95" s="94" t="n"/>
      <c r="AQ95" s="94" t="n"/>
      <c r="AR95" s="93" t="n"/>
      <c r="AS95" s="93" t="n"/>
      <c r="AT95" s="93" t="n"/>
      <c r="AU95" s="93" t="n"/>
      <c r="AV95" s="93" t="n"/>
      <c r="AW95" s="93">
        <f>IF(COUNT(C95:AU95)=0,"",COUNT(C95:AU95))</f>
        <v/>
      </c>
      <c r="AX95" s="95" t="n"/>
      <c r="AY95" s="93" t="n"/>
      <c r="AZ95" s="93" t="n"/>
      <c r="BA95" s="93" t="n"/>
      <c r="BB95" s="93" t="n"/>
      <c r="BC95" s="93" t="n"/>
      <c r="BD95" s="93" t="n"/>
      <c r="BE95" s="93" t="n"/>
      <c r="BF95" s="93" t="n"/>
      <c r="BG95" s="93" t="n"/>
      <c r="BH95" s="93" t="n"/>
      <c r="BI95" s="93" t="n"/>
      <c r="BJ95" s="93" t="n"/>
      <c r="BK95" s="93" t="n"/>
      <c r="BL95" s="93" t="n"/>
      <c r="BM95" s="93" t="n"/>
      <c r="BN95" s="93" t="n"/>
      <c r="BO95" s="93" t="n"/>
      <c r="BP95" s="93" t="n"/>
      <c r="BQ95" s="93" t="n"/>
      <c r="BR95" s="93" t="n"/>
      <c r="BS95" s="93" t="n"/>
      <c r="BT95" s="93" t="n"/>
      <c r="BU95" s="93">
        <f>MAX(AW93:AW95)</f>
        <v/>
      </c>
      <c r="BV95" s="93" t="n"/>
      <c r="BW95" s="93" t="n"/>
      <c r="BX95" s="93" t="n"/>
      <c r="BY95" s="93" t="n"/>
      <c r="BZ95" s="93" t="n"/>
    </row>
    <row r="96">
      <c r="B96" s="95" t="n"/>
      <c r="AP96" s="96" t="n"/>
      <c r="AQ96" s="96" t="n"/>
      <c r="AW96" s="93">
        <f>IF(COUNT(C96:AU96)=0,"",COUNT(C96:AU96))</f>
        <v/>
      </c>
      <c r="AX96" s="104" t="n"/>
    </row>
    <row r="97">
      <c r="B97" s="95" t="n"/>
      <c r="AP97" s="96" t="n"/>
      <c r="AQ97" s="96" t="n"/>
      <c r="AW97" s="93">
        <f>IF(COUNT(C97:AU97)=0,"",COUNT(C97:AU97))</f>
        <v/>
      </c>
      <c r="AX97" s="104" t="n"/>
    </row>
    <row r="98">
      <c r="A98" s="93" t="inlineStr">
        <is>
          <t>zombie striptizerki</t>
        </is>
      </c>
      <c r="B98" s="95">
        <f>IFERROR(ROUND(AVERAGE(C98:AU98),2),"")</f>
        <v/>
      </c>
      <c r="C98" s="93" t="n">
        <v>6</v>
      </c>
      <c r="D98" s="93" t="n">
        <v>3</v>
      </c>
      <c r="E98" s="93" t="n"/>
      <c r="F98" s="93" t="n"/>
      <c r="G98" s="93" t="n">
        <v>7</v>
      </c>
      <c r="H98" s="93" t="n">
        <v>6</v>
      </c>
      <c r="I98" s="93" t="n">
        <v>1.5</v>
      </c>
      <c r="J98" s="93" t="n">
        <v>3</v>
      </c>
      <c r="K98" s="93" t="n"/>
      <c r="L98" s="93" t="n"/>
      <c r="M98" s="93" t="n">
        <v>2</v>
      </c>
      <c r="N98" s="93" t="n">
        <v>8</v>
      </c>
      <c r="O98" s="93" t="n"/>
      <c r="P98" s="93" t="n">
        <v>4</v>
      </c>
      <c r="Q98" s="93" t="n">
        <v>1</v>
      </c>
      <c r="R98" s="93" t="n"/>
      <c r="S98" s="93" t="n"/>
      <c r="T98" s="93" t="n"/>
      <c r="U98" s="93" t="n"/>
      <c r="V98" s="93" t="n"/>
      <c r="W98" s="93" t="n"/>
      <c r="X98" s="93" t="n"/>
      <c r="Y98" s="93" t="n"/>
      <c r="Z98" s="93" t="n"/>
      <c r="AA98" s="93" t="n"/>
      <c r="AB98" s="93" t="n"/>
      <c r="AC98" s="93" t="n"/>
      <c r="AD98" s="93" t="n"/>
      <c r="AE98" s="93" t="n"/>
      <c r="AF98" s="93" t="n"/>
      <c r="AG98" s="93" t="n"/>
      <c r="AH98" s="93" t="n"/>
      <c r="AI98" s="93" t="n"/>
      <c r="AJ98" s="93" t="n"/>
      <c r="AK98" s="93" t="n"/>
      <c r="AL98" s="93" t="n"/>
      <c r="AM98" s="93" t="n"/>
      <c r="AN98" s="93" t="n"/>
      <c r="AP98" s="94" t="n"/>
      <c r="AQ98" s="94" t="n"/>
      <c r="AR98" s="93" t="n"/>
      <c r="AS98" s="93" t="n"/>
      <c r="AT98" s="93" t="n"/>
      <c r="AU98" s="93" t="n"/>
      <c r="AV98" s="93" t="n"/>
      <c r="AW98" s="93">
        <f>IF(COUNT(C98:AU98)=0,"",COUNT(C98:AU98))</f>
        <v/>
      </c>
      <c r="AX98" s="95" t="n"/>
      <c r="AY98" s="93" t="n"/>
      <c r="AZ98" s="93" t="n"/>
      <c r="BA98" s="93" t="n"/>
      <c r="BB98" s="93" t="n"/>
      <c r="BC98" s="93" t="n"/>
      <c r="BD98" s="93" t="n"/>
      <c r="BE98" s="93" t="n"/>
      <c r="BF98" s="93" t="n"/>
      <c r="BG98" s="93" t="n"/>
      <c r="BH98" s="93" t="n"/>
      <c r="BI98" s="93" t="n"/>
      <c r="BJ98" s="93" t="n"/>
      <c r="BK98" s="93" t="n"/>
      <c r="BL98" s="93" t="n"/>
      <c r="BM98" s="93" t="n"/>
      <c r="BN98" s="93" t="n"/>
      <c r="BO98" s="93" t="n"/>
      <c r="BP98" s="93" t="n"/>
      <c r="BQ98" s="93" t="n"/>
      <c r="BR98" s="93" t="n"/>
      <c r="BS98" s="93" t="n"/>
      <c r="BT98" s="93" t="n"/>
      <c r="BU98" s="93" t="n"/>
      <c r="BV98" s="93" t="n"/>
      <c r="BW98" s="93" t="n"/>
      <c r="BX98" s="93" t="n"/>
      <c r="BY98" s="93" t="n"/>
      <c r="BZ98" s="93" t="n"/>
    </row>
    <row r="99">
      <c r="A99" s="93" t="inlineStr">
        <is>
          <t>im a hero</t>
        </is>
      </c>
      <c r="B99" s="95">
        <f>IFERROR(ROUND(AVERAGE(C99:AU99),2),"")</f>
        <v/>
      </c>
      <c r="C99" s="93" t="n">
        <v>8</v>
      </c>
      <c r="D99" s="93" t="n"/>
      <c r="E99" s="93" t="n">
        <v>3</v>
      </c>
      <c r="F99" s="93" t="n">
        <v>5</v>
      </c>
      <c r="G99" s="93" t="n">
        <v>6</v>
      </c>
      <c r="H99" s="93" t="n">
        <v>6</v>
      </c>
      <c r="I99" s="93" t="n">
        <v>5</v>
      </c>
      <c r="J99" s="93" t="n">
        <v>7</v>
      </c>
      <c r="K99" s="93" t="n"/>
      <c r="L99" s="93" t="n"/>
      <c r="M99" s="93" t="n">
        <v>7</v>
      </c>
      <c r="N99" s="93" t="n">
        <v>6</v>
      </c>
      <c r="O99" s="93" t="n">
        <v>6</v>
      </c>
      <c r="P99" s="93" t="n">
        <v>5.5</v>
      </c>
      <c r="Q99" s="93" t="n">
        <v>6</v>
      </c>
      <c r="R99" s="93" t="n"/>
      <c r="S99" s="93" t="n"/>
      <c r="T99" s="93" t="n"/>
      <c r="U99" s="93" t="n"/>
      <c r="V99" s="93" t="n"/>
      <c r="W99" s="93" t="n"/>
      <c r="X99" s="93" t="n"/>
      <c r="Y99" s="93" t="n"/>
      <c r="Z99" s="93" t="n"/>
      <c r="AA99" s="93" t="n"/>
      <c r="AB99" s="93" t="n"/>
      <c r="AC99" s="93" t="n"/>
      <c r="AD99" s="93" t="n"/>
      <c r="AE99" s="93" t="n"/>
      <c r="AF99" s="93" t="n"/>
      <c r="AG99" s="93" t="n"/>
      <c r="AH99" s="93" t="n"/>
      <c r="AI99" s="93" t="n"/>
      <c r="AJ99" s="93" t="n"/>
      <c r="AK99" s="93" t="n"/>
      <c r="AL99" s="93" t="n"/>
      <c r="AM99" s="93" t="n"/>
      <c r="AN99" s="93" t="n"/>
      <c r="AP99" s="94" t="n"/>
      <c r="AQ99" s="94" t="n"/>
      <c r="AR99" s="93" t="n"/>
      <c r="AS99" s="93" t="n"/>
      <c r="AT99" s="93" t="n"/>
      <c r="AU99" s="93" t="n"/>
      <c r="AV99" s="93" t="n"/>
      <c r="AW99" s="93">
        <f>IF(COUNT(C99:AU99)=0,"",COUNT(C99:AU99))</f>
        <v/>
      </c>
      <c r="AX99" s="95" t="n"/>
      <c r="AY99" s="93" t="n"/>
      <c r="AZ99" s="93" t="n"/>
      <c r="BA99" s="93" t="n"/>
      <c r="BB99" s="93" t="n"/>
      <c r="BC99" s="93" t="n"/>
      <c r="BD99" s="93" t="n"/>
      <c r="BE99" s="93" t="n"/>
      <c r="BF99" s="93" t="n"/>
      <c r="BG99" s="93" t="n"/>
      <c r="BH99" s="93" t="n"/>
      <c r="BI99" s="93" t="n"/>
      <c r="BJ99" s="93" t="n"/>
      <c r="BK99" s="93" t="n"/>
      <c r="BL99" s="93" t="n"/>
      <c r="BM99" s="93" t="n"/>
      <c r="BN99" s="93" t="n"/>
      <c r="BO99" s="93" t="n"/>
      <c r="BP99" s="93" t="n"/>
      <c r="BQ99" s="93" t="n"/>
      <c r="BR99" s="93" t="n"/>
      <c r="BS99" s="93" t="n"/>
      <c r="BT99" s="93" t="n"/>
      <c r="BU99" s="93" t="n"/>
      <c r="BV99" s="93" t="n"/>
      <c r="BW99" s="93" t="n"/>
      <c r="BX99" s="93" t="n"/>
      <c r="BY99" s="93" t="n"/>
      <c r="BZ99" s="93" t="n"/>
    </row>
    <row r="100">
      <c r="A100" s="93" t="inlineStr">
        <is>
          <t>dead sushi</t>
        </is>
      </c>
      <c r="B100" s="95">
        <f>IFERROR(ROUND(AVERAGE(C100:AU100),2),"")</f>
        <v/>
      </c>
      <c r="C100" s="93" t="n">
        <v>10</v>
      </c>
      <c r="D100" s="93" t="n">
        <v>7</v>
      </c>
      <c r="E100" s="93" t="n">
        <v>9.5</v>
      </c>
      <c r="F100" s="93" t="n">
        <v>9</v>
      </c>
      <c r="G100" s="93" t="n">
        <v>4.5</v>
      </c>
      <c r="H100" s="93" t="n">
        <v>10</v>
      </c>
      <c r="I100" s="93" t="n">
        <v>3</v>
      </c>
      <c r="J100" s="93" t="n"/>
      <c r="K100" s="93" t="n"/>
      <c r="L100" s="93" t="n"/>
      <c r="M100" s="93" t="n">
        <v>10</v>
      </c>
      <c r="N100" s="93" t="n"/>
      <c r="O100" s="93" t="n"/>
      <c r="P100" s="93" t="n"/>
      <c r="Q100" s="93" t="n"/>
      <c r="R100" s="93" t="n"/>
      <c r="S100" s="93" t="n"/>
      <c r="T100" s="93" t="n"/>
      <c r="U100" s="93" t="n"/>
      <c r="V100" s="93" t="n"/>
      <c r="W100" s="93" t="n"/>
      <c r="X100" s="93" t="n"/>
      <c r="Y100" s="93" t="n"/>
      <c r="Z100" s="93" t="n"/>
      <c r="AA100" s="93" t="n"/>
      <c r="AB100" s="93" t="n"/>
      <c r="AC100" s="93" t="n"/>
      <c r="AD100" s="93" t="n"/>
      <c r="AE100" s="93" t="n"/>
      <c r="AF100" s="93" t="n"/>
      <c r="AG100" s="93" t="n"/>
      <c r="AH100" s="93" t="n"/>
      <c r="AI100" s="93" t="n"/>
      <c r="AJ100" s="93" t="n"/>
      <c r="AK100" s="93" t="n"/>
      <c r="AL100" s="93" t="n"/>
      <c r="AM100" s="93" t="n"/>
      <c r="AN100" s="93" t="n"/>
      <c r="AP100" s="94" t="n"/>
      <c r="AQ100" s="94" t="n"/>
      <c r="AR100" s="93" t="n"/>
      <c r="AS100" s="93" t="n"/>
      <c r="AT100" s="93" t="n"/>
      <c r="AU100" s="93" t="n"/>
      <c r="AV100" s="93" t="n"/>
      <c r="AW100" s="93">
        <f>IF(COUNT(C100:AU100)=0,"",COUNT(C100:AU100))</f>
        <v/>
      </c>
      <c r="AX100" s="95" t="n"/>
      <c r="AY100" s="93" t="n"/>
      <c r="AZ100" s="93" t="n"/>
      <c r="BA100" s="93" t="n"/>
      <c r="BB100" s="93" t="n"/>
      <c r="BC100" s="93" t="n"/>
      <c r="BD100" s="93" t="n"/>
      <c r="BE100" s="93" t="n"/>
      <c r="BF100" s="93" t="n"/>
      <c r="BG100" s="93" t="n"/>
      <c r="BH100" s="93" t="n"/>
      <c r="BI100" s="93" t="n"/>
      <c r="BJ100" s="93" t="n"/>
      <c r="BK100" s="93" t="n"/>
      <c r="BL100" s="93" t="n"/>
      <c r="BM100" s="93" t="n"/>
      <c r="BN100" s="93" t="n"/>
      <c r="BO100" s="93" t="n"/>
      <c r="BP100" s="93" t="n"/>
      <c r="BQ100" s="93" t="n"/>
      <c r="BR100" s="93" t="n"/>
      <c r="BS100" s="93" t="n"/>
      <c r="BT100" s="93" t="n"/>
      <c r="BU100" s="93">
        <f>MAX(AW98:AW100)</f>
        <v/>
      </c>
      <c r="BV100" s="93" t="n"/>
      <c r="BW100" s="93" t="n"/>
      <c r="BX100" s="93" t="n"/>
      <c r="BY100" s="93" t="n"/>
      <c r="BZ100" s="93" t="n"/>
    </row>
    <row r="101">
      <c r="B101" s="95">
        <f>IFERROR(ROUND(AVERAGE(C101:AU101),2),"")</f>
        <v/>
      </c>
      <c r="AP101" s="105" t="n"/>
      <c r="AQ101" s="105" t="n"/>
      <c r="AR101" s="93" t="n"/>
      <c r="AS101" s="93" t="n"/>
      <c r="AT101" s="93" t="n"/>
      <c r="AU101" s="93" t="n"/>
      <c r="AV101" s="93" t="n"/>
      <c r="AW101" s="93">
        <f>IF(COUNT(C101:AU101)=0,"",COUNT(C101:AU101))</f>
        <v/>
      </c>
      <c r="AX101" s="104" t="n"/>
    </row>
    <row r="102">
      <c r="B102" s="95">
        <f>IFERROR(ROUND(AVERAGE(C102:AU102),2),"")</f>
        <v/>
      </c>
      <c r="AR102" s="93" t="n"/>
      <c r="AS102" s="93" t="n"/>
      <c r="AT102" s="93" t="n"/>
      <c r="AU102" s="93" t="n"/>
      <c r="AV102" s="93" t="n"/>
      <c r="AW102" s="93">
        <f>IF(COUNT(C102:AU102)=0,"",COUNT(C102:AU102))</f>
        <v/>
      </c>
    </row>
    <row r="103">
      <c r="A103" s="107" t="inlineStr">
        <is>
          <t>shaun of the dead</t>
        </is>
      </c>
      <c r="B103" s="95">
        <f>IFERROR(ROUND(AVERAGE(C103:AU103),2),"")</f>
        <v/>
      </c>
      <c r="C103" s="107" t="n">
        <v>7</v>
      </c>
      <c r="D103" s="107" t="n">
        <v>7</v>
      </c>
      <c r="E103" s="107" t="n">
        <v>6</v>
      </c>
      <c r="F103" s="107" t="n">
        <v>5</v>
      </c>
      <c r="G103" s="107" t="n">
        <v>10</v>
      </c>
      <c r="H103" s="107" t="n">
        <v>8.5</v>
      </c>
      <c r="J103" s="107" t="n">
        <v>9</v>
      </c>
      <c r="N103" s="106" t="n">
        <v>8</v>
      </c>
      <c r="Q103" s="107" t="n">
        <v>6</v>
      </c>
      <c r="AR103" s="93" t="n"/>
      <c r="AS103" s="93" t="n"/>
      <c r="AT103" s="93" t="n"/>
      <c r="AU103" s="93" t="n"/>
      <c r="AV103" s="93" t="n"/>
      <c r="AW103" s="93">
        <f>IF(COUNT(C103:AU103)=0,"",COUNT(C103:AU103))</f>
        <v/>
      </c>
      <c r="AX103" s="104" t="n"/>
    </row>
    <row r="104">
      <c r="A104" s="107" t="inlineStr">
        <is>
          <t>cube (japanese)</t>
        </is>
      </c>
      <c r="B104" s="95">
        <f>IFERROR(ROUND(AVERAGE(C104:AU104),2),"")</f>
        <v/>
      </c>
      <c r="C104" s="107" t="n">
        <v>2</v>
      </c>
      <c r="D104" s="107" t="n">
        <v>6</v>
      </c>
      <c r="E104" s="107" t="n">
        <v>4</v>
      </c>
      <c r="F104" s="107" t="n">
        <v>4.5</v>
      </c>
      <c r="G104" s="107" t="n">
        <v>5</v>
      </c>
      <c r="H104" s="107" t="n">
        <v>4.5</v>
      </c>
      <c r="J104" s="107" t="n">
        <v>4.5</v>
      </c>
      <c r="N104" s="107" t="n">
        <v>4</v>
      </c>
      <c r="Q104" s="107" t="n">
        <v>4.5</v>
      </c>
      <c r="AO104" s="107" t="n">
        <v>4</v>
      </c>
      <c r="AR104" s="93" t="n"/>
      <c r="AS104" s="93" t="n"/>
      <c r="AT104" s="93" t="n"/>
      <c r="AU104" s="93" t="n"/>
      <c r="AV104" s="93" t="n"/>
      <c r="AW104" s="93">
        <f>IF(COUNT(C104:AU104)=0,"",COUNT(C104:AU104))</f>
        <v/>
      </c>
      <c r="AX104" s="100" t="n"/>
    </row>
    <row r="105">
      <c r="A105" s="107" t="inlineStr">
        <is>
          <t>scanners</t>
        </is>
      </c>
      <c r="B105" s="95">
        <f>IFERROR(ROUND(AVERAGE(C105:AU105),2),"")</f>
        <v/>
      </c>
      <c r="C105" s="107" t="n">
        <v>3</v>
      </c>
      <c r="D105" s="107" t="n">
        <v>3</v>
      </c>
      <c r="G105" s="107" t="n">
        <v>4</v>
      </c>
      <c r="H105" s="107" t="n">
        <v>1.5</v>
      </c>
      <c r="J105" s="107" t="n">
        <v>6</v>
      </c>
      <c r="N105" s="107" t="n">
        <v>3</v>
      </c>
      <c r="AO105" s="107" t="n">
        <v>6</v>
      </c>
      <c r="AP105" s="99" t="n"/>
      <c r="AQ105" s="99" t="n"/>
      <c r="AR105" s="93" t="n"/>
      <c r="AS105" s="93" t="n"/>
      <c r="AT105" s="93" t="n"/>
      <c r="AU105" s="93" t="n"/>
      <c r="AV105" s="93" t="n"/>
      <c r="AW105" s="93">
        <f>IF(COUNT(C105:AU105)=0,"",COUNT(C105:AU105))</f>
        <v/>
      </c>
      <c r="AX105" s="100" t="n"/>
      <c r="BU105" s="93">
        <f>MAX(AW103:AW105)</f>
        <v/>
      </c>
    </row>
    <row r="106">
      <c r="B106" s="95">
        <f>IFERROR(ROUND(AVERAGE(C106:AU106),2),"")</f>
        <v/>
      </c>
      <c r="AP106" s="105" t="n"/>
      <c r="AQ106" s="105" t="n"/>
      <c r="AR106" s="93" t="n"/>
      <c r="AS106" s="93" t="n"/>
      <c r="AT106" s="93" t="n"/>
      <c r="AU106" s="93" t="n"/>
      <c r="AV106" s="93" t="n"/>
      <c r="AW106" s="93">
        <f>IF(COUNT(C106:AU106)=0,"",COUNT(C106:AU106))</f>
        <v/>
      </c>
      <c r="AX106" s="104" t="n"/>
    </row>
    <row r="107">
      <c r="B107" s="95">
        <f>IFERROR(ROUND(AVERAGE(C107:AU107),2),"")</f>
        <v/>
      </c>
      <c r="AP107" s="105" t="n"/>
      <c r="AQ107" s="105" t="n"/>
      <c r="AR107" s="93" t="n"/>
      <c r="AS107" s="93" t="n"/>
      <c r="AT107" s="93" t="n"/>
      <c r="AU107" s="93" t="n"/>
      <c r="AV107" s="93" t="n"/>
      <c r="AW107" s="93">
        <f>IF(COUNT(C107:AU107)=0,"",COUNT(C107:AU107))</f>
        <v/>
      </c>
      <c r="AX107" s="104" t="n"/>
    </row>
    <row r="108">
      <c r="A108" s="107" t="inlineStr">
        <is>
          <t xml:space="preserve">Rytuał </t>
        </is>
      </c>
      <c r="B108" s="95">
        <f>IFERROR(ROUND(AVERAGE(C108:AU108),2),"")</f>
        <v/>
      </c>
      <c r="C108" s="107" t="n">
        <v>8</v>
      </c>
      <c r="D108" s="107" t="n">
        <v>4</v>
      </c>
      <c r="E108" s="107" t="n">
        <v>4</v>
      </c>
      <c r="F108" s="107" t="n">
        <v>6</v>
      </c>
      <c r="G108" s="107" t="n">
        <v>7.5</v>
      </c>
      <c r="H108" s="107" t="n">
        <v>8</v>
      </c>
      <c r="I108" s="107" t="n">
        <v>7</v>
      </c>
      <c r="P108" s="107" t="n">
        <v>4</v>
      </c>
      <c r="AP108" s="105" t="n">
        <v>6</v>
      </c>
      <c r="AQ108" s="105" t="n"/>
      <c r="AR108" s="93" t="n"/>
      <c r="AS108" s="93" t="n"/>
      <c r="AT108" s="93" t="n"/>
      <c r="AU108" s="93" t="n"/>
      <c r="AV108" s="93" t="n"/>
      <c r="AW108" s="93">
        <f>IF(COUNT(C108:AU108)=0,"",COUNT(C108:AU108))</f>
        <v/>
      </c>
      <c r="AX108" s="104" t="n"/>
    </row>
    <row r="109">
      <c r="A109" s="107" t="inlineStr">
        <is>
          <t>Blair witch (2016)</t>
        </is>
      </c>
      <c r="B109" s="95">
        <f>IFERROR(ROUND(AVERAGE(C109:AU109),2),"")</f>
        <v/>
      </c>
      <c r="C109" s="107" t="n">
        <v>5</v>
      </c>
      <c r="D109" s="107" t="n">
        <v>4</v>
      </c>
      <c r="E109" s="107" t="n">
        <v>8</v>
      </c>
      <c r="G109" s="107" t="n">
        <v>3</v>
      </c>
      <c r="H109" s="107" t="n">
        <v>7</v>
      </c>
      <c r="I109" s="107" t="n">
        <v>8</v>
      </c>
      <c r="P109" s="107" t="n">
        <v>6</v>
      </c>
      <c r="AP109" s="105" t="n">
        <v>2</v>
      </c>
      <c r="AQ109" s="105" t="n"/>
      <c r="AR109" s="93" t="n"/>
      <c r="AS109" s="93" t="n"/>
      <c r="AT109" s="93" t="n"/>
      <c r="AU109" s="93" t="n"/>
      <c r="AV109" s="93" t="n"/>
      <c r="AW109" s="93">
        <f>IF(COUNT(C109:AU109)=0,"",COUNT(C109:AU109))</f>
        <v/>
      </c>
      <c r="AX109" s="104" t="n"/>
    </row>
    <row r="110">
      <c r="A110" s="107" t="inlineStr">
        <is>
          <t>vvitch</t>
        </is>
      </c>
      <c r="B110" s="95">
        <f>IFERROR(ROUND(AVERAGE(C110:AU110),2),"")</f>
        <v/>
      </c>
      <c r="C110" s="107" t="n">
        <v>9</v>
      </c>
      <c r="D110" s="107" t="n">
        <v>4</v>
      </c>
      <c r="E110" s="107" t="n">
        <v>7</v>
      </c>
      <c r="G110" s="107" t="n">
        <v>5.5</v>
      </c>
      <c r="H110" s="107" t="n">
        <v>4</v>
      </c>
      <c r="I110" s="107" t="n">
        <v>9</v>
      </c>
      <c r="AP110" s="105" t="n"/>
      <c r="AQ110" s="105" t="n"/>
      <c r="AR110" s="93" t="n"/>
      <c r="AS110" s="93" t="n"/>
      <c r="AT110" s="93" t="n"/>
      <c r="AU110" s="93" t="n"/>
      <c r="AV110" s="93" t="n"/>
      <c r="AW110" s="93">
        <f>IF(COUNT(C110:AU110)=0,"",COUNT(C110:AU110))</f>
        <v/>
      </c>
      <c r="AX110" s="104" t="n"/>
      <c r="BU110" s="93">
        <f>MAX(AW108:AW110)</f>
        <v/>
      </c>
    </row>
    <row r="111">
      <c r="B111" s="95">
        <f>IFERROR(ROUND(AVERAGE(C111:AU111),2),"")</f>
        <v/>
      </c>
      <c r="AP111" s="105" t="n"/>
      <c r="AQ111" s="105" t="n"/>
      <c r="AR111" s="93" t="n"/>
      <c r="AS111" s="93" t="n"/>
      <c r="AT111" s="93" t="n"/>
      <c r="AU111" s="93" t="n"/>
      <c r="AV111" s="93" t="n"/>
      <c r="AW111" s="93">
        <f>IF(COUNT(C111:AU111)=0,"",COUNT(C111:AU111))</f>
        <v/>
      </c>
      <c r="AX111" s="104" t="n"/>
    </row>
    <row r="112">
      <c r="A112" s="107" t="inlineStr">
        <is>
          <t>Poltergeist</t>
        </is>
      </c>
      <c r="B112" s="95">
        <f>IFERROR(ROUND(AVERAGE(C112:AU112),2),"")</f>
        <v/>
      </c>
      <c r="C112" s="107" t="n">
        <v>3</v>
      </c>
      <c r="D112" s="107" t="n">
        <v>7.5</v>
      </c>
      <c r="E112" s="107" t="n">
        <v>5</v>
      </c>
      <c r="F112" s="107" t="n">
        <v>4</v>
      </c>
      <c r="I112" s="107" t="n">
        <v>4.5</v>
      </c>
      <c r="M112" s="107" t="n">
        <v>5</v>
      </c>
      <c r="P112" s="107" t="n">
        <v>4</v>
      </c>
      <c r="AO112" s="107" t="n">
        <v>4</v>
      </c>
      <c r="AP112" s="105" t="n"/>
      <c r="AQ112" s="105" t="n"/>
      <c r="AR112" s="93" t="n"/>
      <c r="AS112" s="93" t="n"/>
      <c r="AT112" s="93" t="n"/>
      <c r="AU112" s="93" t="n"/>
      <c r="AV112" s="93" t="n"/>
      <c r="AW112" s="93">
        <f>IF(COUNT(C112:AU112)=0,"",COUNT(C112:AU112))</f>
        <v/>
      </c>
      <c r="AX112" s="104" t="n"/>
    </row>
    <row r="113">
      <c r="A113" s="107" t="inlineStr">
        <is>
          <t>Scare me</t>
        </is>
      </c>
      <c r="B113" s="95">
        <f>IFERROR(ROUND(AVERAGE(C113:AU113),2),"")</f>
        <v/>
      </c>
      <c r="C113" s="107" t="n">
        <v>10</v>
      </c>
      <c r="D113" s="107" t="n">
        <v>7</v>
      </c>
      <c r="E113" s="107" t="n">
        <v>10</v>
      </c>
      <c r="F113" s="107" t="n">
        <v>9</v>
      </c>
      <c r="I113" s="107" t="n">
        <v>9.5</v>
      </c>
      <c r="M113" s="107" t="n">
        <v>5</v>
      </c>
      <c r="P113" s="107" t="n">
        <v>3.5</v>
      </c>
      <c r="AO113" s="107" t="n">
        <v>6</v>
      </c>
      <c r="AP113" s="105" t="n"/>
      <c r="AQ113" s="105" t="n"/>
      <c r="AR113" s="93" t="n"/>
      <c r="AS113" s="93" t="n"/>
      <c r="AT113" s="93" t="n"/>
      <c r="AU113" s="93" t="n"/>
      <c r="AV113" s="93" t="n"/>
      <c r="AW113" s="93">
        <f>IF(COUNT(C113:AU113)=0,"",COUNT(C113:AU113))</f>
        <v/>
      </c>
      <c r="AX113" s="104" t="n"/>
    </row>
    <row r="114">
      <c r="A114" s="107" t="inlineStr">
        <is>
          <t>Caveat</t>
        </is>
      </c>
      <c r="B114" s="95">
        <f>IFERROR(ROUND(AVERAGE(C114:AU114),2),"")</f>
        <v/>
      </c>
      <c r="C114" s="107" t="n">
        <v>9</v>
      </c>
      <c r="D114" s="107" t="n">
        <v>5.5</v>
      </c>
      <c r="E114" s="107" t="n">
        <v>6</v>
      </c>
      <c r="I114" s="107" t="n">
        <v>6</v>
      </c>
      <c r="AP114" s="105" t="n"/>
      <c r="AQ114" s="105" t="n"/>
      <c r="AR114" s="93" t="n"/>
      <c r="AS114" s="93" t="n"/>
      <c r="AT114" s="93" t="n"/>
      <c r="AU114" s="93" t="n"/>
      <c r="AV114" s="93" t="n"/>
      <c r="AW114" s="93">
        <f>IF(COUNT(C114:AU114)=0,"",COUNT(C114:AU114))</f>
        <v/>
      </c>
      <c r="AX114" s="104" t="n"/>
      <c r="BU114" s="93">
        <f>MAX(AW112:AW114)</f>
        <v/>
      </c>
    </row>
    <row r="115">
      <c r="B115" s="95">
        <f>IFERROR(ROUND(AVERAGE(C115:AU115),2),"")</f>
        <v/>
      </c>
      <c r="AP115" s="105" t="n"/>
      <c r="AQ115" s="105" t="n"/>
      <c r="AR115" s="93" t="n"/>
      <c r="AS115" s="93" t="n"/>
      <c r="AT115" s="93" t="n"/>
      <c r="AU115" s="93" t="n"/>
      <c r="AV115" s="93" t="n"/>
      <c r="AW115" s="93">
        <f>IF(COUNT(C115:AU115)=0,"",COUNT(C115:AU115))</f>
        <v/>
      </c>
      <c r="AX115" s="104" t="n"/>
    </row>
    <row r="116">
      <c r="B116" s="95">
        <f>IFERROR(ROUND(AVERAGE(C116:AU116),2),"")</f>
        <v/>
      </c>
      <c r="AP116" s="105" t="n"/>
      <c r="AQ116" s="105" t="n"/>
      <c r="AR116" s="93" t="n"/>
      <c r="AS116" s="93" t="n"/>
      <c r="AT116" s="93" t="n"/>
      <c r="AU116" s="93" t="n"/>
      <c r="AV116" s="93" t="n"/>
      <c r="AW116" s="93">
        <f>IF(COUNT(C116:AU116)=0,"",COUNT(C116:AU116))</f>
        <v/>
      </c>
      <c r="AX116" s="104" t="n"/>
    </row>
    <row r="117">
      <c r="A117" s="107" t="inlineStr">
        <is>
          <t>classic horror story</t>
        </is>
      </c>
      <c r="B117" s="95">
        <f>IFERROR(ROUND(AVERAGE(C117:AU117),2),"")</f>
        <v/>
      </c>
      <c r="C117" s="107" t="n">
        <v>4</v>
      </c>
      <c r="D117" s="107" t="n">
        <v>3</v>
      </c>
      <c r="E117" s="107" t="n">
        <v>2.5</v>
      </c>
      <c r="F117" s="107" t="n">
        <v>4.5</v>
      </c>
      <c r="G117" s="107" t="n">
        <v>4.5</v>
      </c>
      <c r="L117" s="107" t="n">
        <v>2.5</v>
      </c>
      <c r="M117" s="107" t="n">
        <v>4.5</v>
      </c>
      <c r="P117" s="107" t="n">
        <v>2.5</v>
      </c>
      <c r="R117" s="107" t="n">
        <v>5</v>
      </c>
      <c r="W117" s="107" t="n">
        <v>5</v>
      </c>
      <c r="AP117" s="105" t="n">
        <v>2</v>
      </c>
      <c r="AQ117" s="105" t="n"/>
      <c r="AR117" s="93" t="n"/>
      <c r="AS117" s="93" t="n"/>
      <c r="AT117" s="93" t="n"/>
      <c r="AU117" s="93" t="n"/>
      <c r="AV117" s="93" t="n"/>
      <c r="AW117" s="93">
        <f>IF(COUNT(C117:AU117)=0,"",COUNT(C117:AU117))</f>
        <v/>
      </c>
      <c r="AX117" s="104" t="n"/>
    </row>
    <row r="118">
      <c r="A118" s="107" t="inlineStr">
        <is>
          <t>last heroes</t>
        </is>
      </c>
      <c r="B118" s="95">
        <f>IFERROR(ROUND(AVERAGE(C118:AU118),2),"")</f>
        <v/>
      </c>
      <c r="C118" s="107" t="n">
        <v>2</v>
      </c>
      <c r="D118" s="107" t="n">
        <v>2</v>
      </c>
      <c r="E118" s="107" t="n">
        <v>1</v>
      </c>
      <c r="F118" s="107" t="n">
        <v>3</v>
      </c>
      <c r="G118" s="107" t="n">
        <v>6</v>
      </c>
      <c r="H118" s="107" t="n">
        <v>3</v>
      </c>
      <c r="L118" s="107" t="n"/>
      <c r="M118" s="107" t="n">
        <v>1</v>
      </c>
      <c r="P118" s="107" t="n">
        <v>3.5</v>
      </c>
      <c r="AO118" s="107" t="n">
        <v>2</v>
      </c>
      <c r="AP118" s="105" t="n"/>
      <c r="AQ118" s="105" t="n">
        <v>3</v>
      </c>
      <c r="AR118" s="93" t="n"/>
      <c r="AS118" s="93" t="n"/>
      <c r="AT118" s="93" t="n"/>
      <c r="AU118" s="93" t="n"/>
      <c r="AV118" s="93" t="n"/>
      <c r="AW118" s="93">
        <f>IF(COUNT(C118:AU118)=0,"",COUNT(C118:AU118))</f>
        <v/>
      </c>
      <c r="AX118" s="104" t="n"/>
    </row>
    <row r="119">
      <c r="A119" s="107" t="inlineStr">
        <is>
          <t>the end?</t>
        </is>
      </c>
      <c r="B119" s="95">
        <f>IFERROR(ROUND(AVERAGE(C119:AU119),2),"")</f>
        <v/>
      </c>
      <c r="C119" s="107" t="n">
        <v>7</v>
      </c>
      <c r="D119" s="107" t="n">
        <v>4.5</v>
      </c>
      <c r="E119" s="107" t="n">
        <v>8</v>
      </c>
      <c r="F119" s="107" t="n">
        <v>6</v>
      </c>
      <c r="G119" s="107" t="n">
        <v>4.5</v>
      </c>
      <c r="H119" s="107" t="n">
        <v>8.5</v>
      </c>
      <c r="M119" s="107" t="n">
        <v>7</v>
      </c>
      <c r="P119" s="107" t="n">
        <v>4.5</v>
      </c>
      <c r="AO119" s="107" t="n">
        <v>5</v>
      </c>
      <c r="AP119" s="105" t="n"/>
      <c r="AQ119" s="105" t="n">
        <v>5</v>
      </c>
      <c r="AR119" s="93" t="n"/>
      <c r="AS119" s="93" t="n"/>
      <c r="AT119" s="93" t="n"/>
      <c r="AU119" s="93" t="n"/>
      <c r="AV119" s="93" t="n"/>
      <c r="AW119" s="93">
        <f>IF(COUNT(C119:AU119)=0,"",COUNT(C119:AU119))</f>
        <v/>
      </c>
      <c r="AX119" s="104" t="n"/>
      <c r="BU119" s="93">
        <f>MAX(AW117:AW119)</f>
        <v/>
      </c>
    </row>
    <row r="120">
      <c r="B120" s="95">
        <f>IFERROR(ROUND(AVERAGE(C120:AU120),2),"")</f>
        <v/>
      </c>
      <c r="AP120" s="105" t="n"/>
      <c r="AQ120" s="105" t="n"/>
      <c r="AR120" s="93" t="n"/>
      <c r="AS120" s="93" t="n"/>
      <c r="AT120" s="93" t="n"/>
      <c r="AU120" s="93" t="n"/>
      <c r="AV120" s="93" t="n"/>
      <c r="AW120" s="93">
        <f>IF(COUNT(C120:AU120)=0,"",COUNT(C120:AU120))</f>
        <v/>
      </c>
      <c r="AX120" s="104" t="n"/>
    </row>
    <row r="121">
      <c r="A121" s="107" t="n"/>
      <c r="B121" s="95">
        <f>IFERROR(ROUND(AVERAGE(C121:AU121),2),"")</f>
        <v/>
      </c>
      <c r="AP121" s="105" t="n"/>
      <c r="AQ121" s="105" t="n"/>
      <c r="AR121" s="93" t="n"/>
      <c r="AS121" s="93" t="n"/>
      <c r="AT121" s="93" t="n"/>
      <c r="AU121" s="93" t="n"/>
      <c r="AV121" s="93" t="n"/>
      <c r="AW121" s="93">
        <f>IF(COUNT(C121:AU121)=0,"",COUNT(C121:AU121))</f>
        <v/>
      </c>
      <c r="AX121" s="104" t="n"/>
    </row>
    <row r="122">
      <c r="A122" s="107" t="inlineStr">
        <is>
          <t>i saw the devil</t>
        </is>
      </c>
      <c r="B122" s="95">
        <f>IFERROR(ROUND(AVERAGE(C122:AU122),2),"")</f>
        <v/>
      </c>
      <c r="C122" s="107" t="n">
        <v>5</v>
      </c>
      <c r="D122" s="107" t="n">
        <v>2</v>
      </c>
      <c r="E122" s="107" t="n">
        <v>3</v>
      </c>
      <c r="I122" s="107" t="n">
        <v>1</v>
      </c>
      <c r="L122" s="107" t="n">
        <v>4</v>
      </c>
      <c r="M122" s="107" t="n">
        <v>5</v>
      </c>
      <c r="O122" s="107" t="n">
        <v>5</v>
      </c>
      <c r="P122" s="107" t="n">
        <v>3</v>
      </c>
      <c r="Q122" s="107" t="n">
        <v>6.5</v>
      </c>
      <c r="W122" s="107" t="n">
        <v>3.5</v>
      </c>
      <c r="AP122" s="105" t="n"/>
      <c r="AQ122" s="105" t="n"/>
      <c r="AR122" s="93" t="n"/>
      <c r="AS122" s="93" t="n"/>
      <c r="AT122" s="93" t="n"/>
      <c r="AU122" s="93" t="n"/>
      <c r="AV122" s="93" t="n"/>
      <c r="AW122" s="93">
        <f>IF(COUNT(C122:AU122)=0,"",COUNT(C122:AU122))</f>
        <v/>
      </c>
      <c r="AX122" s="104" t="n"/>
    </row>
    <row r="123">
      <c r="A123" s="107" t="inlineStr">
        <is>
          <t>8th night</t>
        </is>
      </c>
      <c r="B123" s="95">
        <f>IFERROR(ROUND(AVERAGE(C123:AU123),2),"")</f>
        <v/>
      </c>
      <c r="C123" s="107" t="n">
        <v>2</v>
      </c>
      <c r="D123" s="107" t="n">
        <v>3.5</v>
      </c>
      <c r="E123" s="107" t="n">
        <v>1</v>
      </c>
      <c r="I123" s="107" t="n">
        <v>1.5</v>
      </c>
      <c r="L123" s="107" t="n">
        <v>6</v>
      </c>
      <c r="M123" s="107" t="n">
        <v>6</v>
      </c>
      <c r="O123" s="107" t="n">
        <v>3.5</v>
      </c>
      <c r="AP123" s="105" t="n"/>
      <c r="AQ123" s="105" t="n"/>
      <c r="AR123" s="93" t="n">
        <v>4</v>
      </c>
      <c r="AS123" s="93" t="n"/>
      <c r="AT123" s="93" t="n"/>
      <c r="AU123" s="93" t="n"/>
      <c r="AV123" s="93" t="n"/>
      <c r="AW123" s="93">
        <f>IF(COUNT(C123:AU123)=0,"",COUNT(C123:AU123))</f>
        <v/>
      </c>
      <c r="AX123" s="104" t="n"/>
    </row>
    <row r="124">
      <c r="A124" s="107" t="inlineStr">
        <is>
          <t>Rampart</t>
        </is>
      </c>
      <c r="B124" s="95">
        <f>IFERROR(ROUND(AVERAGE(C124:AU124),2),"")</f>
        <v/>
      </c>
      <c r="C124" s="107" t="n">
        <v>4</v>
      </c>
      <c r="D124" s="107" t="n">
        <v>5.5</v>
      </c>
      <c r="E124" s="107" t="n">
        <v>3</v>
      </c>
      <c r="I124" s="107" t="n">
        <v>3</v>
      </c>
      <c r="M124" s="107" t="n">
        <v>7</v>
      </c>
      <c r="AP124" s="105" t="n"/>
      <c r="AQ124" s="105" t="n"/>
      <c r="AR124" s="93" t="n"/>
      <c r="AS124" s="93" t="n">
        <v>9</v>
      </c>
      <c r="AT124" s="93" t="n"/>
      <c r="AU124" s="93" t="n"/>
      <c r="AV124" s="93" t="n"/>
      <c r="AW124" s="93">
        <f>IF(COUNT(C124:AU124)=0,"",COUNT(C124:AU124))</f>
        <v/>
      </c>
      <c r="AX124" s="104" t="n"/>
    </row>
    <row r="125">
      <c r="A125" s="107" t="n"/>
      <c r="B125" s="95">
        <f>IFERROR(ROUND(AVERAGE(C125:AU125),2),"")</f>
        <v/>
      </c>
      <c r="AP125" s="105" t="n"/>
      <c r="AQ125" s="105" t="n"/>
      <c r="AR125" s="93" t="n"/>
      <c r="AS125" s="93" t="n"/>
      <c r="AT125" s="93" t="n"/>
      <c r="AU125" s="93" t="n"/>
      <c r="AV125" s="93" t="n"/>
      <c r="AW125" s="93">
        <f>IF(COUNT(C125:AU125)=0,"",COUNT(C125:AU125))</f>
        <v/>
      </c>
      <c r="AX125" s="104" t="n"/>
    </row>
    <row r="126">
      <c r="B126" s="95">
        <f>IFERROR(ROUND(AVERAGE(C126:AU126),2),"")</f>
        <v/>
      </c>
      <c r="AP126" s="105" t="n"/>
      <c r="AQ126" s="105" t="n"/>
      <c r="AR126" s="93" t="n"/>
      <c r="AS126" s="93" t="n"/>
      <c r="AT126" s="93" t="n"/>
      <c r="AU126" s="93" t="n"/>
      <c r="AV126" s="93" t="n"/>
      <c r="AW126" s="93">
        <f>IF(COUNT(C126:AU126)=0,"",COUNT(C126:AU126))</f>
        <v/>
      </c>
      <c r="AX126" s="104" t="n"/>
    </row>
    <row r="127">
      <c r="A127" s="107" t="inlineStr">
        <is>
          <t>paranormal activity: next of kin</t>
        </is>
      </c>
      <c r="B127" s="95">
        <f>IFERROR(ROUND(AVERAGE(C127:AU127),2),"")</f>
        <v/>
      </c>
      <c r="C127" s="107" t="n">
        <v>5</v>
      </c>
      <c r="I127" s="107" t="n">
        <v>4</v>
      </c>
      <c r="M127" s="107" t="n">
        <v>4</v>
      </c>
      <c r="AP127" s="105" t="n"/>
      <c r="AQ127" s="105" t="n"/>
      <c r="AR127" s="93" t="n"/>
      <c r="AS127" s="93" t="n"/>
      <c r="AT127" s="93" t="n"/>
      <c r="AU127" s="93" t="n"/>
      <c r="AV127" s="93" t="n"/>
      <c r="AW127" s="93">
        <f>IF(COUNT(C127:AU127)=0,"",COUNT(C127:AU127))</f>
        <v/>
      </c>
      <c r="AX127" s="104" t="n"/>
    </row>
    <row r="128">
      <c r="B128" s="95">
        <f>IFERROR(ROUND(AVERAGE(C128:AU128),2),"")</f>
        <v/>
      </c>
      <c r="AP128" s="105" t="n"/>
      <c r="AQ128" s="105" t="n"/>
      <c r="AR128" s="93" t="n"/>
      <c r="AS128" s="93" t="n"/>
      <c r="AT128" s="93" t="n"/>
      <c r="AU128" s="93" t="n"/>
      <c r="AV128" s="93" t="n"/>
      <c r="AW128" s="93">
        <f>IF(COUNT(C128:AU128)=0,"",COUNT(C128:AU128))</f>
        <v/>
      </c>
      <c r="AX128" s="104" t="n"/>
    </row>
    <row r="129">
      <c r="B129" s="95">
        <f>IFERROR(ROUND(AVERAGE(C129:AU129),2),"")</f>
        <v/>
      </c>
      <c r="AP129" s="105" t="n"/>
      <c r="AQ129" s="105" t="n"/>
      <c r="AR129" s="93" t="n"/>
      <c r="AS129" s="93" t="n"/>
      <c r="AT129" s="93" t="n"/>
      <c r="AU129" s="93" t="n"/>
      <c r="AV129" s="93" t="n"/>
      <c r="AW129" s="93">
        <f>IF(COUNT(C129:AU129)=0,"",COUNT(C129:AU129))</f>
        <v/>
      </c>
      <c r="AX129" s="104" t="n"/>
    </row>
    <row r="130">
      <c r="A130" s="107" t="inlineStr">
        <is>
          <t>Mad God</t>
        </is>
      </c>
      <c r="B130" s="95">
        <f>IFERROR(ROUND(AVERAGE(C130:AU130),2),"")</f>
        <v/>
      </c>
      <c r="C130" s="107" t="n">
        <v>8</v>
      </c>
      <c r="D130" s="107" t="n">
        <v>1.5</v>
      </c>
      <c r="E130" s="107" t="n">
        <v>1.5</v>
      </c>
      <c r="F130" s="107" t="n">
        <v>3</v>
      </c>
      <c r="G130" s="107" t="n">
        <v>6.5</v>
      </c>
      <c r="I130" s="107" t="n">
        <v>1.5</v>
      </c>
      <c r="L130" s="107" t="n">
        <v>5</v>
      </c>
      <c r="P130" s="107" t="n">
        <v>4</v>
      </c>
      <c r="Q130" s="107" t="n">
        <v>7.5</v>
      </c>
      <c r="AP130" s="105" t="n"/>
      <c r="AQ130" s="105" t="n"/>
      <c r="AR130" s="93" t="n"/>
      <c r="AS130" s="93" t="n"/>
      <c r="AT130" s="93" t="n"/>
      <c r="AU130" s="93" t="n"/>
      <c r="AV130" s="93" t="n"/>
      <c r="AW130" s="93">
        <f>IF(COUNT(C130:AU130)=0,"",COUNT(C130:AU130))</f>
        <v/>
      </c>
      <c r="AX130" s="104" t="n"/>
    </row>
    <row r="131">
      <c r="A131" s="107" t="inlineStr">
        <is>
          <t>Monster House</t>
        </is>
      </c>
      <c r="B131" s="95">
        <f>IFERROR(ROUND(AVERAGE(C131:AU131),2),"")</f>
        <v/>
      </c>
      <c r="C131" s="107" t="n">
        <v>5.5</v>
      </c>
      <c r="D131" s="107" t="n">
        <v>3.5</v>
      </c>
      <c r="G131" s="107" t="n">
        <v>5</v>
      </c>
      <c r="I131" s="107" t="n">
        <v>4</v>
      </c>
      <c r="L131" s="107" t="n">
        <v>5</v>
      </c>
      <c r="M131" s="107" t="n">
        <v>4</v>
      </c>
      <c r="P131" s="107" t="n">
        <v>5</v>
      </c>
      <c r="Q131" s="107" t="n">
        <v>6</v>
      </c>
      <c r="AP131" s="105" t="n"/>
      <c r="AQ131" s="105" t="n"/>
      <c r="AR131" s="93" t="n"/>
      <c r="AS131" s="93" t="n"/>
      <c r="AT131" s="93" t="n"/>
      <c r="AU131" s="93" t="n"/>
      <c r="AV131" s="93" t="n"/>
      <c r="AW131" s="93">
        <f>IF(COUNT(C131:AU131)=0,"",COUNT(C131:AU131))</f>
        <v/>
      </c>
      <c r="AX131" s="104" t="n"/>
    </row>
    <row r="132">
      <c r="A132" s="107" t="inlineStr">
        <is>
          <t>0mhz</t>
        </is>
      </c>
      <c r="B132" s="95">
        <f>IFERROR(ROUND(AVERAGE(C132:AU132),2),"")</f>
        <v/>
      </c>
      <c r="C132" s="107" t="n">
        <v>3</v>
      </c>
      <c r="D132" s="107" t="n">
        <v>6.5</v>
      </c>
      <c r="F132" s="107" t="n">
        <v>5</v>
      </c>
      <c r="G132" s="107" t="n">
        <v>5</v>
      </c>
      <c r="I132" s="107" t="n">
        <v>5</v>
      </c>
      <c r="M132" s="107" t="n">
        <v>8</v>
      </c>
      <c r="AP132" s="105" t="n"/>
      <c r="AQ132" s="105" t="n"/>
      <c r="AR132" s="93" t="n"/>
      <c r="AS132" s="93" t="n"/>
      <c r="AT132" s="93" t="n"/>
      <c r="AU132" s="93" t="n"/>
      <c r="AV132" s="93" t="n"/>
      <c r="AW132" s="93">
        <f>IF(COUNT(C132:AU132)=0,"",COUNT(C132:AU132))</f>
        <v/>
      </c>
      <c r="AX132" s="104" t="n"/>
    </row>
    <row r="133">
      <c r="A133" s="107" t="n"/>
      <c r="B133" s="95">
        <f>IFERROR(ROUND(AVERAGE(C133:AU133),2),"")</f>
        <v/>
      </c>
      <c r="AP133" s="105" t="n"/>
      <c r="AQ133" s="105" t="n"/>
      <c r="AR133" s="93" t="n"/>
      <c r="AS133" s="93" t="n"/>
      <c r="AT133" s="93" t="n"/>
      <c r="AU133" s="93" t="n"/>
      <c r="AV133" s="93" t="n"/>
      <c r="AW133" s="93">
        <f>IF(COUNT(C133:AU133)=0,"",COUNT(C133:AU133))</f>
        <v/>
      </c>
      <c r="AX133" s="104" t="n"/>
    </row>
    <row r="134">
      <c r="A134" s="107" t="n"/>
      <c r="B134" s="95">
        <f>IFERROR(ROUND(AVERAGE(C134:AU134),2),"")</f>
        <v/>
      </c>
      <c r="AP134" s="105" t="n"/>
      <c r="AQ134" s="105" t="n"/>
      <c r="AR134" s="93" t="n"/>
      <c r="AS134" s="93" t="n"/>
      <c r="AT134" s="93" t="n"/>
      <c r="AU134" s="93" t="n"/>
      <c r="AV134" s="93" t="n"/>
      <c r="AW134" s="93">
        <f>IF(COUNT(C134:AU134)=0,"",COUNT(C134:AU134))</f>
        <v/>
      </c>
      <c r="AX134" s="104" t="n"/>
    </row>
    <row r="135">
      <c r="A135" s="107" t="inlineStr">
        <is>
          <t>men</t>
        </is>
      </c>
      <c r="B135" s="95">
        <f>IFERROR(ROUND(AVERAGE(C135:AU135),2),"")</f>
        <v/>
      </c>
      <c r="C135" s="107" t="n">
        <v>9</v>
      </c>
      <c r="D135" s="107" t="n">
        <v>4</v>
      </c>
      <c r="G135" s="107" t="n">
        <v>3.5</v>
      </c>
      <c r="I135" s="107" t="n">
        <v>6.5</v>
      </c>
      <c r="AO135" s="107" t="n">
        <v>7</v>
      </c>
      <c r="AP135" s="105" t="n"/>
      <c r="AQ135" s="105" t="n"/>
      <c r="AR135" s="93" t="n"/>
      <c r="AS135" s="93" t="n"/>
      <c r="AT135" s="93" t="n"/>
      <c r="AU135" s="93" t="n"/>
      <c r="AV135" s="93" t="n"/>
      <c r="AW135" s="93">
        <f>IF(COUNT(C135:AU135)=0,"",COUNT(C135:AU135))</f>
        <v/>
      </c>
      <c r="AX135" s="104" t="n"/>
    </row>
    <row r="136">
      <c r="A136" s="107" t="inlineStr">
        <is>
          <t>room 203</t>
        </is>
      </c>
      <c r="B136" s="95">
        <f>IFERROR(ROUND(AVERAGE(C136:AU136),2),"")</f>
        <v/>
      </c>
      <c r="C136" s="107" t="n">
        <v>2</v>
      </c>
      <c r="D136" s="107" t="n">
        <v>4</v>
      </c>
      <c r="G136" s="107" t="n">
        <v>3.5</v>
      </c>
      <c r="I136" s="107" t="n">
        <v>3</v>
      </c>
      <c r="AP136" s="105" t="n"/>
      <c r="AQ136" s="105" t="n"/>
      <c r="AR136" s="93" t="n"/>
      <c r="AS136" s="93" t="n"/>
      <c r="AT136" s="93" t="n"/>
      <c r="AU136" s="93" t="n"/>
      <c r="AV136" s="93" t="n"/>
      <c r="AW136" s="93">
        <f>IF(COUNT(C136:AU136)=0,"",COUNT(C136:AU136))</f>
        <v/>
      </c>
      <c r="AX136" s="104" t="n"/>
    </row>
    <row r="137">
      <c r="B137" s="95">
        <f>IFERROR(ROUND(AVERAGE(C137:AU137),2),"")</f>
        <v/>
      </c>
      <c r="AP137" s="105" t="n"/>
      <c r="AQ137" s="105" t="n"/>
      <c r="AR137" s="93" t="n"/>
      <c r="AS137" s="93" t="n"/>
      <c r="AT137" s="93" t="n"/>
      <c r="AU137" s="93" t="n"/>
      <c r="AV137" s="93" t="n"/>
      <c r="AW137" s="93">
        <f>IF(COUNT(C137:AU137)=0,"",COUNT(C137:AU137))</f>
        <v/>
      </c>
      <c r="AX137" s="104" t="n"/>
    </row>
    <row r="138">
      <c r="A138" s="107" t="inlineStr">
        <is>
          <t>LAS by Dawid Thai Hai</t>
        </is>
      </c>
      <c r="B138" s="95">
        <f>IFERROR(ROUND(AVERAGE(C138:AU138),2),"")</f>
        <v/>
      </c>
      <c r="C138" s="107" t="n">
        <v>10</v>
      </c>
      <c r="D138" s="107" t="n">
        <v>10</v>
      </c>
      <c r="E138" s="107" t="n">
        <v>7</v>
      </c>
      <c r="G138" s="107" t="n">
        <v>10</v>
      </c>
      <c r="H138" s="107" t="n">
        <v>9.5</v>
      </c>
      <c r="I138" s="107" t="n">
        <v>3</v>
      </c>
      <c r="O138" s="107" t="n">
        <v>8</v>
      </c>
      <c r="P138" s="107" t="n">
        <v>9</v>
      </c>
      <c r="Q138" s="107" t="n">
        <v>6</v>
      </c>
      <c r="AE138" s="107" t="n">
        <v>4</v>
      </c>
      <c r="AP138" s="105" t="n"/>
      <c r="AQ138" s="105" t="n"/>
      <c r="AR138" s="93" t="n"/>
      <c r="AS138" s="93" t="n"/>
      <c r="AT138" s="93" t="n">
        <v>7</v>
      </c>
      <c r="AU138" s="93" t="n">
        <v>9</v>
      </c>
      <c r="AV138" s="93" t="n">
        <v>8.5</v>
      </c>
      <c r="AW138" s="93">
        <f>IF(COUNT(C138:AU138)=0,"",COUNT(C138:AU138))</f>
        <v/>
      </c>
      <c r="AX138" s="104" t="n"/>
    </row>
    <row r="139">
      <c r="A139" s="107" t="n"/>
      <c r="B139" s="95">
        <f>IFERROR(ROUND(AVERAGE(C139:AU139),2),"")</f>
        <v/>
      </c>
      <c r="AP139" s="105" t="n"/>
      <c r="AQ139" s="105" t="n"/>
      <c r="AR139" s="93" t="n"/>
      <c r="AS139" s="93" t="n"/>
      <c r="AT139" s="93" t="n"/>
      <c r="AU139" s="93" t="n"/>
      <c r="AV139" s="93" t="n"/>
      <c r="AW139" s="93">
        <f>IF(COUNT(C139:AU139)=0,"",COUNT(C139:AU139))</f>
        <v/>
      </c>
      <c r="AX139" s="104" t="n"/>
    </row>
    <row r="140">
      <c r="A140" s="107" t="inlineStr">
        <is>
          <t>Glorious</t>
        </is>
      </c>
      <c r="B140" s="95">
        <f>IFERROR(ROUND(AVERAGE(C140:AU140),2),"")</f>
        <v/>
      </c>
      <c r="C140" s="107" t="n">
        <v>9.5</v>
      </c>
      <c r="D140" s="107" t="n">
        <v>4.5</v>
      </c>
      <c r="E140" s="107" t="n">
        <v>3</v>
      </c>
      <c r="G140" s="107" t="n">
        <v>4</v>
      </c>
      <c r="H140" s="107" t="n">
        <v>2</v>
      </c>
      <c r="I140" s="107" t="n">
        <v>7.5</v>
      </c>
      <c r="O140" s="107" t="n">
        <v>2</v>
      </c>
      <c r="P140" s="107" t="n">
        <v>3</v>
      </c>
      <c r="Q140" s="107" t="n">
        <v>3</v>
      </c>
      <c r="AE140" s="107" t="n">
        <v>4.5</v>
      </c>
      <c r="AP140" s="105" t="n"/>
      <c r="AQ140" s="105" t="n"/>
      <c r="AR140" s="93" t="n"/>
      <c r="AS140" s="93" t="n"/>
      <c r="AT140" s="93" t="n">
        <v>1.5</v>
      </c>
      <c r="AU140" s="93" t="n">
        <v>5</v>
      </c>
      <c r="AV140" s="93" t="n"/>
      <c r="AW140" s="93">
        <f>IF(COUNT(C140:AU140)=0,"",COUNT(C140:AU140))</f>
        <v/>
      </c>
      <c r="AX140" s="104" t="n"/>
    </row>
    <row r="141">
      <c r="A141" s="107" t="inlineStr">
        <is>
          <t>Incantation</t>
        </is>
      </c>
      <c r="B141" s="95">
        <f>IFERROR(ROUND(AVERAGE(C141:AU141),2),"")</f>
        <v/>
      </c>
      <c r="C141" s="107" t="n">
        <v>7</v>
      </c>
      <c r="D141" s="107" t="n">
        <v>8.5</v>
      </c>
      <c r="E141" s="107" t="n">
        <v>10</v>
      </c>
      <c r="G141" s="107" t="n">
        <v>7</v>
      </c>
      <c r="H141" s="107" t="n">
        <v>8</v>
      </c>
      <c r="I141" s="107" t="n">
        <v>4</v>
      </c>
      <c r="O141" s="107" t="n">
        <v>8</v>
      </c>
      <c r="Q141" s="107" t="n">
        <v>6</v>
      </c>
      <c r="AP141" s="105" t="n"/>
      <c r="AQ141" s="105" t="n"/>
      <c r="AR141" s="93" t="n"/>
      <c r="AS141" s="93" t="n"/>
      <c r="AT141" s="93" t="n">
        <v>8</v>
      </c>
      <c r="AU141" s="93" t="n">
        <v>8</v>
      </c>
      <c r="AV141" s="93" t="n"/>
      <c r="AW141" s="93">
        <f>IF(COUNT(C141:AU141)=0,"",COUNT(C141:AU141))</f>
        <v/>
      </c>
      <c r="AX141" s="104" t="n"/>
    </row>
    <row r="142">
      <c r="A142" s="107" t="inlineStr">
        <is>
          <t>Hatching</t>
        </is>
      </c>
      <c r="B142" s="95">
        <f>IFERROR(ROUND(AVERAGE(C142:AU142),2),"")</f>
        <v/>
      </c>
      <c r="C142" s="107" t="n">
        <v>6</v>
      </c>
      <c r="D142" s="107" t="n">
        <v>6</v>
      </c>
      <c r="E142" s="107" t="n">
        <v>3.5</v>
      </c>
      <c r="G142" s="107" t="n">
        <v>8.5</v>
      </c>
      <c r="H142" s="107" t="n">
        <v>7</v>
      </c>
      <c r="I142" s="107" t="n">
        <v>2</v>
      </c>
      <c r="Q142" s="107" t="n">
        <v>6</v>
      </c>
      <c r="AP142" s="105" t="n"/>
      <c r="AQ142" s="105" t="n"/>
      <c r="AR142" s="93" t="n"/>
      <c r="AS142" s="93" t="n"/>
      <c r="AT142" s="93" t="n">
        <v>6.5</v>
      </c>
      <c r="AU142" s="93" t="n">
        <v>6</v>
      </c>
      <c r="AV142" s="93" t="n"/>
      <c r="AW142" s="93">
        <f>IF(COUNT(C142:AU142)=0,"",COUNT(C142:AU142))</f>
        <v/>
      </c>
      <c r="AX142" s="104" t="n"/>
    </row>
    <row r="143">
      <c r="A143" s="107" t="n"/>
      <c r="B143" s="95">
        <f>IFERROR(ROUND(AVERAGE(C143:AU143),2),"")</f>
        <v/>
      </c>
      <c r="AP143" s="105" t="n"/>
      <c r="AQ143" s="105" t="n"/>
      <c r="AR143" s="93" t="n"/>
      <c r="AS143" s="93" t="n"/>
      <c r="AT143" s="93" t="n"/>
      <c r="AU143" s="93" t="n"/>
      <c r="AV143" s="93" t="n"/>
      <c r="AW143" s="93">
        <f>IF(COUNT(C143:AU143)=0,"",COUNT(C143:AU143))</f>
        <v/>
      </c>
      <c r="AX143" s="104" t="n"/>
    </row>
    <row r="144">
      <c r="A144" s="107" t="inlineStr">
        <is>
          <t>final girl</t>
        </is>
      </c>
      <c r="B144" s="95">
        <f>IFERROR(ROUND(AVERAGE(C144:AU144),2),"")</f>
        <v/>
      </c>
      <c r="C144" s="107" t="n">
        <v>6.5</v>
      </c>
      <c r="D144" s="107" t="n">
        <v>6.5</v>
      </c>
      <c r="E144" s="107" t="n">
        <v>2.5</v>
      </c>
      <c r="F144" s="107" t="n">
        <v>4</v>
      </c>
      <c r="H144" s="107" t="n">
        <v>7</v>
      </c>
      <c r="J144" s="107" t="n">
        <v>7.5</v>
      </c>
      <c r="Q144" s="107" t="n">
        <v>6</v>
      </c>
      <c r="AP144" s="105" t="n"/>
      <c r="AQ144" s="105" t="n"/>
      <c r="AR144" s="93" t="n"/>
      <c r="AS144" s="93" t="n"/>
      <c r="AT144" s="93" t="n"/>
      <c r="AU144" s="93" t="n">
        <v>7</v>
      </c>
      <c r="AV144" s="93" t="n"/>
      <c r="AW144" s="93">
        <f>IF(COUNT(C144:AU144)=0,"",COUNT(C144:AU144))</f>
        <v/>
      </c>
      <c r="AX144" s="104" t="n"/>
    </row>
    <row r="145">
      <c r="A145" s="107" t="inlineStr">
        <is>
          <t>nope</t>
        </is>
      </c>
      <c r="B145" s="95">
        <f>IFERROR(ROUND(AVERAGE(C145:AU145),2),"")</f>
        <v/>
      </c>
      <c r="C145" s="107" t="n">
        <v>3</v>
      </c>
      <c r="D145" s="107" t="n">
        <v>5</v>
      </c>
      <c r="E145" s="107" t="n">
        <v>4</v>
      </c>
      <c r="F145" s="107" t="n">
        <v>4</v>
      </c>
      <c r="H145" s="107" t="n">
        <v>5</v>
      </c>
      <c r="J145" s="107" t="n">
        <v>6.5</v>
      </c>
      <c r="Q145" s="107" t="n">
        <v>7</v>
      </c>
      <c r="AP145" s="105" t="n"/>
      <c r="AQ145" s="105" t="n"/>
      <c r="AR145" s="93" t="n"/>
      <c r="AS145" s="93" t="n"/>
      <c r="AT145" s="93" t="n"/>
      <c r="AU145" s="93" t="n">
        <v>6.5</v>
      </c>
      <c r="AV145" s="93" t="n"/>
      <c r="AW145" s="93">
        <f>IF(COUNT(C145:AU145)=0,"",COUNT(C145:AU145))</f>
        <v/>
      </c>
      <c r="AX145" s="104" t="n"/>
    </row>
    <row r="146">
      <c r="A146" s="107" t="inlineStr">
        <is>
          <t>X</t>
        </is>
      </c>
      <c r="B146" s="95">
        <f>IFERROR(ROUND(AVERAGE(C146:AU146),2),"")</f>
        <v/>
      </c>
      <c r="D146" s="107" t="n"/>
      <c r="E146" s="107" t="n">
        <v>10</v>
      </c>
      <c r="F146" s="107" t="n">
        <v>7.5</v>
      </c>
      <c r="H146" s="107" t="n">
        <v>7</v>
      </c>
      <c r="J146" s="107" t="n">
        <v>6</v>
      </c>
      <c r="Q146" s="107" t="n">
        <v>3</v>
      </c>
      <c r="AP146" s="105" t="n"/>
      <c r="AQ146" s="105" t="n"/>
      <c r="AR146" s="93" t="n"/>
      <c r="AS146" s="93" t="n"/>
      <c r="AT146" s="93" t="n"/>
      <c r="AU146" s="93" t="n">
        <v>6</v>
      </c>
      <c r="AV146" s="93" t="n"/>
      <c r="AW146" s="93">
        <f>IF(COUNT(C146:AU146)=0,"",COUNT(C146:AU146))</f>
        <v/>
      </c>
      <c r="AX146" s="104" t="n"/>
    </row>
    <row r="147">
      <c r="A147" s="107" t="n"/>
      <c r="B147" s="95">
        <f>IFERROR(ROUND(AVERAGE(C147:AU147),2),"")</f>
        <v/>
      </c>
      <c r="D147" s="107" t="n"/>
      <c r="AP147" s="105" t="n"/>
      <c r="AQ147" s="105" t="n"/>
      <c r="AR147" s="93" t="n"/>
      <c r="AS147" s="93" t="n"/>
      <c r="AT147" s="93" t="n"/>
      <c r="AU147" s="93" t="n"/>
      <c r="AV147" s="93" t="n"/>
      <c r="AW147" s="93">
        <f>IF(COUNT(C147:AU147)=0,"",COUNT(C147:AU147))</f>
        <v/>
      </c>
      <c r="AX147" s="104" t="n"/>
    </row>
    <row r="148">
      <c r="A148" s="107" t="inlineStr">
        <is>
          <t>sadness</t>
        </is>
      </c>
      <c r="B148" s="95">
        <f>IFERROR(ROUND(AVERAGE(C148:AU148),2),"")</f>
        <v/>
      </c>
      <c r="C148" s="107" t="n">
        <v>8</v>
      </c>
      <c r="D148" s="107" t="n">
        <v>4</v>
      </c>
      <c r="E148" s="107" t="n">
        <v>6.5</v>
      </c>
      <c r="F148" s="107" t="n">
        <v>6</v>
      </c>
      <c r="H148" s="107" t="n">
        <v>8</v>
      </c>
      <c r="Q148" s="107" t="n">
        <v>6</v>
      </c>
      <c r="AP148" s="105" t="n"/>
      <c r="AQ148" s="105" t="n"/>
      <c r="AR148" s="93" t="n"/>
      <c r="AS148" s="93" t="n"/>
      <c r="AT148" s="93" t="n"/>
      <c r="AU148" s="93" t="n"/>
      <c r="AV148" s="93" t="n"/>
      <c r="AW148" s="93">
        <f>IF(COUNT(C148:AU148)=0,"",COUNT(C148:AU148))</f>
        <v/>
      </c>
      <c r="AX148" s="104" t="n"/>
    </row>
    <row r="149" ht="19.5" customHeight="1" s="128">
      <c r="A149" s="107" t="inlineStr">
        <is>
          <t>Tales of 2 sisters</t>
        </is>
      </c>
      <c r="B149" s="95">
        <f>IFERROR(ROUND(AVERAGE(C149:AU149),2),"")</f>
        <v/>
      </c>
      <c r="C149" s="107" t="n">
        <v>6</v>
      </c>
      <c r="D149" s="107" t="n">
        <v>2</v>
      </c>
      <c r="E149" s="107" t="n">
        <v>2</v>
      </c>
      <c r="F149" s="107" t="n">
        <v>3</v>
      </c>
      <c r="H149" s="107" t="n">
        <v>3</v>
      </c>
      <c r="I149" s="107" t="n">
        <v>2</v>
      </c>
      <c r="Q149" s="107" t="n">
        <v>5</v>
      </c>
      <c r="AP149" s="105" t="n"/>
      <c r="AQ149" s="105" t="n"/>
      <c r="AR149" s="93" t="n"/>
      <c r="AS149" s="93" t="n"/>
      <c r="AT149" s="93" t="n"/>
      <c r="AU149" s="93" t="n"/>
      <c r="AV149" s="93" t="n"/>
      <c r="AW149" s="93">
        <f>IF(COUNT(C149:AU149)=0,"",COUNT(C149:AU149))</f>
        <v/>
      </c>
      <c r="AX149" s="104" t="n"/>
    </row>
    <row r="150">
      <c r="A150" s="107" t="inlineStr">
        <is>
          <t>Noroki</t>
        </is>
      </c>
      <c r="B150" s="95">
        <f>IFERROR(ROUND(AVERAGE(C150:AU150),2),"")</f>
        <v/>
      </c>
      <c r="C150" s="107" t="n">
        <v>2</v>
      </c>
      <c r="D150" s="107" t="n">
        <v>6</v>
      </c>
      <c r="F150" s="107" t="n">
        <v>5</v>
      </c>
      <c r="H150" s="107" t="n">
        <v>5</v>
      </c>
      <c r="I150" s="107" t="n">
        <v>7.5</v>
      </c>
      <c r="AP150" s="105" t="n"/>
      <c r="AQ150" s="105" t="n"/>
      <c r="AR150" s="93" t="n"/>
      <c r="AS150" s="93" t="n"/>
      <c r="AT150" s="93" t="n"/>
      <c r="AW150" s="93">
        <f>IF(COUNT(C150:AU150)=0,"",COUNT(C150:AU150))</f>
        <v/>
      </c>
      <c r="AX150" s="104" t="n"/>
    </row>
    <row r="151">
      <c r="A151" s="107" t="n"/>
      <c r="B151" s="95">
        <f>IFERROR(ROUND(AVERAGE(C151:AU151),2),"")</f>
        <v/>
      </c>
      <c r="AP151" s="105" t="n"/>
      <c r="AQ151" s="105" t="n"/>
      <c r="AR151" s="93" t="n"/>
      <c r="AS151" s="93" t="n"/>
      <c r="AT151" s="93" t="n"/>
      <c r="AU151" s="93" t="n"/>
      <c r="AV151" s="93" t="n"/>
      <c r="AW151" s="93">
        <f>IF(COUNT(C151:AU151)=0,"",COUNT(C151:AU151))</f>
        <v/>
      </c>
      <c r="AX151" s="104" t="n"/>
    </row>
    <row r="152">
      <c r="A152" s="107" t="inlineStr">
        <is>
          <t>borderlands/final prayer</t>
        </is>
      </c>
      <c r="B152" s="95">
        <f>IFERROR(ROUND(AVERAGE(C152:AU152),2),"")</f>
        <v/>
      </c>
      <c r="C152" s="107" t="n">
        <v>3</v>
      </c>
      <c r="F152" s="107" t="n">
        <v>5</v>
      </c>
      <c r="I152" s="107" t="n">
        <v>7</v>
      </c>
      <c r="Q152" s="107" t="n">
        <v>5</v>
      </c>
      <c r="AP152" s="105" t="n"/>
      <c r="AQ152" s="105" t="n"/>
      <c r="AT152" s="107" t="n">
        <v>4</v>
      </c>
      <c r="AW152" s="93">
        <f>IF(COUNT(C152:AU152)=0,"",COUNT(C152:AU152))</f>
        <v/>
      </c>
      <c r="AX152" s="104" t="n"/>
    </row>
    <row r="153">
      <c r="A153" s="107" t="inlineStr">
        <is>
          <t>taking of deborah logan</t>
        </is>
      </c>
      <c r="B153" s="95">
        <f>IFERROR(ROUND(AVERAGE(C153:AU153),2),"")</f>
        <v/>
      </c>
      <c r="C153" s="107" t="n">
        <v>7</v>
      </c>
      <c r="D153" s="107" t="n">
        <v>5</v>
      </c>
      <c r="E153" s="107" t="n">
        <v>6</v>
      </c>
      <c r="F153" s="107" t="n">
        <v>6</v>
      </c>
      <c r="I153" s="107" t="n">
        <v>5.5</v>
      </c>
      <c r="Q153" s="107" t="n">
        <v>6</v>
      </c>
      <c r="AP153" s="105" t="n"/>
      <c r="AQ153" s="105" t="n"/>
      <c r="AT153" s="107" t="n">
        <v>6</v>
      </c>
      <c r="AW153" s="93">
        <f>IF(COUNT(C153:AU153)=0,"",COUNT(C153:AU153))</f>
        <v/>
      </c>
      <c r="AX153" s="104" t="n"/>
    </row>
    <row r="154">
      <c r="A154" s="107" t="inlineStr">
        <is>
          <t>midsommar</t>
        </is>
      </c>
      <c r="B154" s="95">
        <f>IFERROR(ROUND(AVERAGE(C154:AU154),2),"")</f>
        <v/>
      </c>
      <c r="C154" s="107" t="n">
        <v>8</v>
      </c>
      <c r="D154" s="107" t="n">
        <v>5</v>
      </c>
      <c r="E154" s="107" t="n">
        <v>4</v>
      </c>
      <c r="F154" s="107" t="n">
        <v>5</v>
      </c>
      <c r="I154" s="107" t="n">
        <v>8</v>
      </c>
      <c r="Q154" s="107" t="n">
        <v>9</v>
      </c>
      <c r="AP154" s="105" t="n"/>
      <c r="AQ154" s="105" t="n"/>
      <c r="AT154" s="107" t="n">
        <v>7</v>
      </c>
      <c r="AW154" s="93">
        <f>IF(COUNT(C154:AU154)=0,"",COUNT(C154:AU154))</f>
        <v/>
      </c>
      <c r="AX154" s="104" t="n"/>
    </row>
    <row r="155">
      <c r="B155" s="95">
        <f>IFERROR(ROUND(AVERAGE(C155:AU155),2),"")</f>
        <v/>
      </c>
      <c r="AW155" s="93">
        <f>IF(COUNT(C155:AU155)=0,"",COUNT(C155:AU155))</f>
        <v/>
      </c>
    </row>
    <row r="156">
      <c r="A156" s="107" t="inlineStr">
        <is>
          <t>bodies x3</t>
        </is>
      </c>
      <c r="B156" s="95">
        <f>IFERROR(ROUND(AVERAGE(C156:AU156),2),"")</f>
        <v/>
      </c>
      <c r="C156" s="107" t="n">
        <v>6</v>
      </c>
      <c r="D156" s="107" t="n">
        <v>4</v>
      </c>
      <c r="E156" s="107" t="n">
        <v>6.5</v>
      </c>
      <c r="F156" s="107" t="n">
        <v>5</v>
      </c>
      <c r="G156" s="107" t="n">
        <v>5</v>
      </c>
      <c r="H156" s="107" t="n">
        <v>7</v>
      </c>
      <c r="I156" s="107" t="n">
        <v>4.5</v>
      </c>
      <c r="L156" s="107" t="n">
        <v>5</v>
      </c>
      <c r="Q156" s="107" t="n">
        <v>3</v>
      </c>
      <c r="AT156" s="107" t="n">
        <v>4</v>
      </c>
      <c r="AW156" s="93">
        <f>IF(COUNT(C156:AU156)=0,"",COUNT(C156:AU156))</f>
        <v/>
      </c>
    </row>
    <row r="157">
      <c r="A157" s="107" t="inlineStr">
        <is>
          <t>monstrous</t>
        </is>
      </c>
      <c r="B157" s="95">
        <f>IFERROR(ROUND(AVERAGE(C157:AU157),2),"")</f>
        <v/>
      </c>
      <c r="C157" s="107" t="n">
        <v>2</v>
      </c>
      <c r="D157" s="107" t="n">
        <v>2</v>
      </c>
      <c r="F157" s="107" t="n">
        <v>2</v>
      </c>
      <c r="G157" s="107" t="n">
        <v>3</v>
      </c>
      <c r="H157" s="107" t="n">
        <v>1</v>
      </c>
      <c r="I157" s="107" t="n">
        <v>2</v>
      </c>
      <c r="L157" s="107" t="n">
        <v>2</v>
      </c>
      <c r="Q157" s="107" t="n">
        <v>2</v>
      </c>
      <c r="AT157" s="107" t="n">
        <v>1</v>
      </c>
    </row>
    <row r="158">
      <c r="A158" s="107" t="inlineStr">
        <is>
          <t>the cursed</t>
        </is>
      </c>
      <c r="B158" s="95">
        <f>IFERROR(ROUND(AVERAGE(C158:AU158),2),"")</f>
        <v/>
      </c>
      <c r="C158" s="107" t="n">
        <v>6</v>
      </c>
      <c r="D158" s="107" t="n">
        <v>5</v>
      </c>
      <c r="F158" s="107" t="n">
        <v>5.5</v>
      </c>
      <c r="G158" s="107" t="n">
        <v>4</v>
      </c>
      <c r="H158" s="107" t="n">
        <v>3</v>
      </c>
      <c r="I158" s="107" t="n">
        <v>4</v>
      </c>
      <c r="L158" s="107" t="n">
        <v>5</v>
      </c>
      <c r="Q158" s="107" t="n">
        <v>4</v>
      </c>
      <c r="AT158" s="107" t="n">
        <v>5</v>
      </c>
    </row>
    <row r="159">
      <c r="B159" s="95">
        <f>IFERROR(ROUND(AVERAGE(C159:AU159),2),"")</f>
        <v/>
      </c>
    </row>
    <row r="160">
      <c r="A160" s="107" t="inlineStr">
        <is>
          <t>apokawixa</t>
        </is>
      </c>
      <c r="B160" s="95">
        <f>IFERROR(ROUND(AVERAGE(C160:AU160),2),"")</f>
        <v/>
      </c>
      <c r="C160" s="107" t="n">
        <v>9</v>
      </c>
      <c r="D160" s="107" t="n">
        <v>7</v>
      </c>
      <c r="E160" s="107" t="n">
        <v>6.5</v>
      </c>
      <c r="F160" s="107" t="n">
        <v>6</v>
      </c>
      <c r="G160" s="107" t="n">
        <v>8</v>
      </c>
      <c r="H160" s="107" t="n">
        <v>9</v>
      </c>
      <c r="K160" s="107" t="n">
        <v>9</v>
      </c>
      <c r="P160" s="107" t="n">
        <v>6</v>
      </c>
      <c r="AP160" s="105" t="n"/>
      <c r="AQ160" s="105" t="n"/>
      <c r="AV160" s="107" t="n">
        <v>7</v>
      </c>
      <c r="AX160" s="104" t="n"/>
    </row>
    <row r="161">
      <c r="A161" s="107" t="inlineStr">
        <is>
          <t>green room</t>
        </is>
      </c>
      <c r="B161" s="95">
        <f>IFERROR(ROUND(AVERAGE(C161:AU161),2),"")</f>
        <v/>
      </c>
      <c r="C161" s="107" t="n">
        <v>8</v>
      </c>
      <c r="D161" s="107" t="n">
        <v>5</v>
      </c>
      <c r="E161" s="107" t="n">
        <v>7</v>
      </c>
      <c r="G161" s="107" t="n">
        <v>6</v>
      </c>
      <c r="H161" s="107" t="n">
        <v>5.5</v>
      </c>
      <c r="K161" s="107" t="n">
        <v>6</v>
      </c>
      <c r="AP161" s="105" t="n"/>
      <c r="AQ161" s="105" t="n"/>
      <c r="AV161" s="107" t="n">
        <v>5</v>
      </c>
      <c r="AX161" s="104" t="n"/>
    </row>
    <row r="162">
      <c r="A162" s="107" t="n"/>
      <c r="B162" s="95">
        <f>IFERROR(ROUND(AVERAGE(C162:AU162),2),"")</f>
        <v/>
      </c>
    </row>
    <row r="163">
      <c r="B163" s="95">
        <f>IFERROR(ROUND(AVERAGE(C163:AU163),2),"")</f>
        <v/>
      </c>
    </row>
    <row r="164">
      <c r="A164" s="107" t="inlineStr">
        <is>
          <t>martwe zło powstaje</t>
        </is>
      </c>
      <c r="B164" s="95">
        <f>IFERROR(ROUND(AVERAGE(C164:AU164),2),"")</f>
        <v/>
      </c>
      <c r="C164" s="107" t="n">
        <v>3</v>
      </c>
      <c r="D164" s="107" t="n">
        <v>3.5</v>
      </c>
      <c r="F164" s="107" t="n">
        <v>2</v>
      </c>
      <c r="G164" s="107" t="n">
        <v>4</v>
      </c>
      <c r="Q164" s="107" t="n">
        <v>3</v>
      </c>
      <c r="AU164" s="107" t="n">
        <v>1</v>
      </c>
    </row>
    <row r="165">
      <c r="A165" s="107" t="inlineStr">
        <is>
          <t>renfield</t>
        </is>
      </c>
      <c r="B165" s="95">
        <f>IFERROR(ROUND(AVERAGE(C165:AU165),2),"")</f>
        <v/>
      </c>
      <c r="C165" s="107" t="n">
        <v>10</v>
      </c>
      <c r="D165" s="107" t="n">
        <v>10</v>
      </c>
      <c r="F165" s="107" t="n">
        <v>8</v>
      </c>
      <c r="G165" s="107" t="n">
        <v>10</v>
      </c>
      <c r="Q165" s="107" t="n">
        <v>7.5</v>
      </c>
      <c r="AU165" s="107" t="n">
        <v>10</v>
      </c>
    </row>
    <row r="166">
      <c r="A166" s="107" t="n"/>
      <c r="B166" s="95">
        <f>IFERROR(ROUND(AVERAGE(C166:AU166),2),"")</f>
        <v/>
      </c>
    </row>
    <row r="167">
      <c r="A167" s="107" t="inlineStr">
        <is>
          <t>egzorcysta papieża</t>
        </is>
      </c>
      <c r="B167" s="95">
        <f>IFERROR(ROUND(AVERAGE(C167:AU167),2),"")</f>
        <v/>
      </c>
      <c r="C167" s="107" t="n">
        <v>4</v>
      </c>
      <c r="D167" s="107" t="n">
        <v>8</v>
      </c>
      <c r="G167" s="107" t="n">
        <v>7.5</v>
      </c>
      <c r="H167" s="107" t="n">
        <v>5</v>
      </c>
      <c r="Q167" s="107" t="n">
        <v>6</v>
      </c>
      <c r="AU167" s="107" t="n">
        <v>6.5</v>
      </c>
      <c r="AV167" s="107" t="n">
        <v>7</v>
      </c>
    </row>
    <row r="168">
      <c r="A168" s="107" t="inlineStr">
        <is>
          <t>bone tomahawk</t>
        </is>
      </c>
      <c r="B168" s="95">
        <f>IFERROR(ROUND(AVERAGE(C168:AU168),2),"")</f>
        <v/>
      </c>
      <c r="C168" s="107" t="n">
        <v>9</v>
      </c>
      <c r="D168" s="107" t="n">
        <v>6</v>
      </c>
      <c r="G168" s="107" t="n">
        <v>6.5</v>
      </c>
      <c r="H168" s="107" t="n">
        <v>3</v>
      </c>
      <c r="Q168" s="107" t="n">
        <v>7.5</v>
      </c>
      <c r="AU168" s="107" t="n">
        <v>8</v>
      </c>
      <c r="AV168" s="107" t="n">
        <v>7.5</v>
      </c>
    </row>
    <row r="169">
      <c r="A169" s="107" t="n"/>
      <c r="B169" s="95">
        <f>IFERROR(ROUND(AVERAGE(C169:AU169),2),"")</f>
        <v/>
      </c>
    </row>
    <row r="170">
      <c r="A170" s="107" t="inlineStr">
        <is>
          <t>lesbian vampire killers</t>
        </is>
      </c>
      <c r="B170" s="95">
        <f>IFERROR(ROUND(AVERAGE(C170:AU170),2),"")</f>
        <v/>
      </c>
      <c r="C170" s="107" t="n">
        <v>4</v>
      </c>
      <c r="D170" s="107" t="n">
        <v>4</v>
      </c>
      <c r="G170" s="107" t="n">
        <v>5</v>
      </c>
      <c r="AB170" s="107" t="n">
        <v>10</v>
      </c>
    </row>
    <row r="171">
      <c r="A171" s="107" t="inlineStr">
        <is>
          <t>summer of '84</t>
        </is>
      </c>
      <c r="B171" s="95">
        <f>IFERROR(ROUND(AVERAGE(C171:AU171),2),"")</f>
        <v/>
      </c>
      <c r="C171" s="107" t="n">
        <v>8</v>
      </c>
      <c r="D171" s="107" t="n">
        <v>7.5</v>
      </c>
      <c r="G171" s="107" t="n">
        <v>8</v>
      </c>
      <c r="H171" s="107" t="n">
        <v>7</v>
      </c>
      <c r="AB171" s="107" t="n">
        <v>9</v>
      </c>
    </row>
    <row r="172">
      <c r="A172" s="107" t="inlineStr">
        <is>
          <t>the platform</t>
        </is>
      </c>
      <c r="B172" s="95">
        <f>IFERROR(ROUND(AVERAGE(C172:AU172),2),"")</f>
        <v/>
      </c>
      <c r="C172" s="107" t="n">
        <v>9</v>
      </c>
      <c r="D172" s="107" t="n">
        <v>6.5</v>
      </c>
      <c r="G172" s="107" t="n">
        <v>9</v>
      </c>
      <c r="H172" s="107" t="n">
        <v>9</v>
      </c>
    </row>
    <row r="173">
      <c r="A173" s="107" t="n"/>
      <c r="B173" s="95" t="n"/>
    </row>
    <row r="174">
      <c r="A174" s="107" t="inlineStr">
        <is>
          <t>ile razy był</t>
        </is>
      </c>
      <c r="B174" s="95" t="n"/>
      <c r="C174" s="107">
        <f>AND(COUNT(C3:C5),1) +  AND(COUNT(C7:C9),1) +  AND(COUNT(C11:C13),1) +  AND(COUNT(C15:C17),1) +  AND(COUNT(C19:C21),1) +  AND(COUNT(C23:C24),1) + AND(COUNT(C27:C29),1) + AND(COUNT(C32:C34),1) + AND(COUNT(C37:C39),1) + AND(COUNT(C41:C43),1) + AND(COUNT(C46:C48),1) + AND(COUNT(C51:C54),1) +AND(COUNT(C57:C59),1) + AND(COUNT(C61:C63),1) + AND(COUNT(C67:C69),1) +  AND(COUNT(C73:C75),1) + AND(COUNT(C79:C81),1) + AND(COUNT(C84:C86),1) +  AND(COUNT(C89:C91),1) +  AND(COUNT(C93:C95),1) +  AND(COUNT(C98:C100),1) +  AND(COUNT(C103:C105),1) +  AND(COUNT(C108:C110),1) +  AND(COUNT(C112:C114),1) + AND(COUNT(C117:C119),1) + AND(COUNT(C122:C124),1)  + AND(COUNT(C127),1) + AND(COUNT(C130:C132),1) + AND(COUNT(C135:C136),1) + AND(COUNT(C138:C142),1) + AND(COUNT(C144:C146),1) + AND(COUNT(C148:C150),1) + AND(COUNT(C152:C154),1)</f>
        <v/>
      </c>
      <c r="D174" s="107">
        <f>AND(COUNT(D3:D5),1) + AND(COUNT(D7:D9),1) + AND(COUNT(D11:D13),1) + AND(COUNT(D15:D17),1) + AND(COUNT(D19:D21),1) + AND(COUNT(D23:D24),1) + AND(COUNT(D27:D29),1) + AND(COUNT(D32:D34),1) + AND(COUNT(D37:D39),1) + AND(COUNT(D41:D43),1) + AND(COUNT(D46:D48),1) + AND(COUNT(D51:D54),1) +AND(COUNT(D57:D59),1) + AND(COUNT(D61:D63),1) + AND(COUNT(D67:D69),1) + AND(COUNT(D73:D75),1) + AND(COUNT(D79:D81),1) + AND(COUNT(D84:D86),1) + AND(COUNT(D89:D91),1) + AND(COUNT(D93:D95),1) + AND(COUNT(D98:D100),1) + AND(COUNT(D103:D105),1) + AND(COUNT(D108:D110),1) + AND(COUNT(D112:D114),1) + AND(COUNT(D117:D119),1) + AND(COUNT(D122:D124),1) + AND(COUNT(D127),1) + AND(COUNT(D130:D132),1) + AND(COUNT(D135:D136),1) + AND(COUNT(D138:D142),1) + AND(COUNT(D144:D146),1) + AND(COUNT(D148:D150),1) + AND(COUNT(D152:D154),1)</f>
        <v/>
      </c>
      <c r="E174" s="107">
        <f>AND(COUNT(E3:E5),1) + AND(COUNT(E7:E9),1) + AND(COUNT(E11:E13),1) + AND(COUNT(E15:E17),1) + AND(COUNT(E19:E21),1) + AND(COUNT(E23:E24),1) + AND(COUNT(E27:E29),1) + AND(COUNT(E32:E34),1) + AND(COUNT(E37:E39),1) + AND(COUNT(E41:E43),1) + AND(COUNT(E46:E48),1) + AND(COUNT(E51:E54),1) +AND(COUNT(E57:E59),1) + AND(COUNT(E61:E63),1) + AND(COUNT(E67:E69),1) + AND(COUNT(E73:E75),1) + AND(COUNT(E79:E81),1) + AND(COUNT(E84:E86),1) + AND(COUNT(E89:E91),1) + AND(COUNT(E93:E95),1) + AND(COUNT(E98:E100),1) + AND(COUNT(E103:E105),1) + AND(COUNT(E108:E110),1) + AND(COUNT(E112:E114),1) + AND(COUNT(E117:E119),1) + AND(COUNT(E122:E124),1) + AND(COUNT(E127),1) + AND(COUNT(E130:E132),1) + AND(COUNT(E135:E136),1) + AND(COUNT(E138:E142),1) + AND(COUNT(E144:E146),1) + AND(COUNT(E148:E150),1) + AND(COUNT(E152:E154),1)</f>
        <v/>
      </c>
      <c r="F174" s="107">
        <f>AND(COUNT(F3:F5),1) + AND(COUNT(F7:F9),1) + AND(COUNT(F11:F13),1) + AND(COUNT(F15:F17),1) + AND(COUNT(F19:F21),1) + AND(COUNT(F23:F24),1) + AND(COUNT(F27:F29),1) + AND(COUNT(F32:F34),1) + AND(COUNT(F37:F39),1) + AND(COUNT(F41:F43),1) + AND(COUNT(F46:F48),1) + AND(COUNT(F51:F54),1) +AND(COUNT(F57:F59),1) + AND(COUNT(F61:F63),1) + AND(COUNT(F67:F69),1) + AND(COUNT(F73:F75),1) + AND(COUNT(F79:F81),1) + AND(COUNT(F84:F86),1) + AND(COUNT(F89:F91),1) + AND(COUNT(F93:F95),1) + AND(COUNT(F98:F100),1) + AND(COUNT(F103:F105),1) + AND(COUNT(F108:F110),1) + AND(COUNT(F112:F114),1) + AND(COUNT(F117:F119),1) + AND(COUNT(F122:F124),1) + AND(COUNT(F127),1) + AND(COUNT(F130:F132),1) + AND(COUNT(F135:F136),1) + AND(COUNT(F138:F142),1) + AND(COUNT(F144:F146),1) + AND(COUNT(F148:F150),1) + AND(COUNT(F152:F154),1)</f>
        <v/>
      </c>
      <c r="G174" s="107">
        <f>AND(COUNT(G3:G5),1) + AND(COUNT(G7:G9),1) + AND(COUNT(G11:G13),1) + AND(COUNT(G15:G17),1) + AND(COUNT(G19:G21),1) + AND(COUNT(G23:G24),1) + AND(COUNT(G27:G29),1) + AND(COUNT(G32:G34),1) + AND(COUNT(G37:G39),1) + AND(COUNT(G41:G43),1) + AND(COUNT(G46:G48),1) + AND(COUNT(G51:G54),1) +AND(COUNT(G57:G59),1) + AND(COUNT(G61:G63),1) + AND(COUNT(G67:G69),1) + AND(COUNT(G73:G75),1) + AND(COUNT(G79:G81),1) + AND(COUNT(G84:G86),1) + AND(COUNT(G89:G91),1) + AND(COUNT(G93:G95),1) + AND(COUNT(G98:G100),1) + AND(COUNT(G103:G105),1) + AND(COUNT(G108:G110),1) + AND(COUNT(G112:G114),1) + AND(COUNT(G117:G119),1) + AND(COUNT(G122:G124),1) + AND(COUNT(G127),1) + AND(COUNT(G130:G132),1) + AND(COUNT(G135:G136),1) + AND(COUNT(G138:G142),1) + AND(COUNT(G144:G146),1) + AND(COUNT(G148:G150),1) + AND(COUNT(G152:G154),1)</f>
        <v/>
      </c>
      <c r="H174" s="107">
        <f>AND(COUNT(H3:H5),1) + AND(COUNT(H7:H9),1) + AND(COUNT(H11:H13),1) + AND(COUNT(H15:H17),1) + AND(COUNT(H19:H21),1) + AND(COUNT(H23:H24),1) + AND(COUNT(H27:H29),1) + AND(COUNT(H32:H34),1) + AND(COUNT(H37:H39),1) + AND(COUNT(H41:H43),1) + AND(COUNT(H46:H48),1) + AND(COUNT(H51:H54),1) +AND(COUNT(H57:H59),1) + AND(COUNT(H61:H63),1) + AND(COUNT(H67:H69),1) + AND(COUNT(H73:H75),1) + AND(COUNT(H79:H81),1) + AND(COUNT(H84:H86),1) + AND(COUNT(H89:H91),1) + AND(COUNT(H93:H95),1) + AND(COUNT(H98:H100),1) + AND(COUNT(H103:H105),1) + AND(COUNT(H108:H110),1) + AND(COUNT(H112:H114),1) + AND(COUNT(H117:H119),1) + AND(COUNT(H122:H124),1) + AND(COUNT(H127),1) + AND(COUNT(H130:H132),1) + AND(COUNT(H135:H136),1) + AND(COUNT(H138:H142),1) + AND(COUNT(H144:H146),1) + AND(COUNT(H148:H150),1) + AND(COUNT(H152:H154),1)</f>
        <v/>
      </c>
      <c r="I174" s="107">
        <f>AND(COUNT(I3:I5),1) + AND(COUNT(I7:I9),1) + AND(COUNT(I11:I13),1) + AND(COUNT(I15:I17),1) + AND(COUNT(I19:I21),1) + AND(COUNT(I23:I24),1) + AND(COUNT(I27:I29),1) + AND(COUNT(I32:I34),1) + AND(COUNT(I37:I39),1) + AND(COUNT(I41:I43),1) + AND(COUNT(I46:I48),1) + AND(COUNT(I51:I54),1) +AND(COUNT(I57:I59),1) + AND(COUNT(I61:I63),1) + AND(COUNT(I67:I69),1) + AND(COUNT(I73:I75),1) + AND(COUNT(I79:I81),1) + AND(COUNT(I84:I86),1) + AND(COUNT(I89:I91),1) + AND(COUNT(I93:I95),1) + AND(COUNT(I98:I100),1) + AND(COUNT(I103:I105),1) + AND(COUNT(I108:I110),1) + AND(COUNT(I112:I114),1) + AND(COUNT(I117:I119),1) + AND(COUNT(I122:I124),1) + AND(COUNT(I127),1) + AND(COUNT(I130:I132),1) + AND(COUNT(I135:I136),1) + AND(COUNT(I138:I142),1) + AND(COUNT(I144:I146),1) + AND(COUNT(I148:I150),1) + AND(COUNT(I152:I154),1)</f>
        <v/>
      </c>
      <c r="J174" s="107">
        <f>AND(COUNT(J3:J5),1) + AND(COUNT(J7:J9),1) + AND(COUNT(J11:J13),1) + AND(COUNT(J15:J17),1) + AND(COUNT(J19:J21),1) + AND(COUNT(J23:J24),1) + AND(COUNT(J27:J29),1) + AND(COUNT(J32:J34),1) + AND(COUNT(J37:J39),1) + AND(COUNT(J41:J43),1) + AND(COUNT(J46:J48),1) + AND(COUNT(J51:J54),1) +AND(COUNT(J57:J59),1) + AND(COUNT(J61:J63),1) + AND(COUNT(J67:J69),1) + AND(COUNT(J73:J75),1) + AND(COUNT(J79:J81),1) + AND(COUNT(J84:J86),1) + AND(COUNT(J89:J91),1) + AND(COUNT(J93:J95),1) + AND(COUNT(J98:J100),1) + AND(COUNT(J103:J105),1) + AND(COUNT(J108:J110),1) + AND(COUNT(J112:J114),1) + AND(COUNT(J117:J119),1) + AND(COUNT(J122:J124),1) + AND(COUNT(J127),1) + AND(COUNT(J130:J132),1) + AND(COUNT(J135:J136),1) + AND(COUNT(J138:J142),1) + AND(COUNT(J144:J146),1) + AND(COUNT(J148:J150),1) + AND(COUNT(J152:J154),1)</f>
        <v/>
      </c>
      <c r="K174" s="107">
        <f>AND(COUNT(K3:K5),1) + AND(COUNT(K7:K9),1) + AND(COUNT(K11:K13),1) + AND(COUNT(K15:K17),1) + AND(COUNT(K19:K21),1) + AND(COUNT(K23:K24),1) + AND(COUNT(K27:K29),1) + AND(COUNT(K32:K34),1) + AND(COUNT(K37:K39),1) + AND(COUNT(K41:K43),1) + AND(COUNT(K46:K48),1) + AND(COUNT(K51:K54),1) +AND(COUNT(K57:K59),1) + AND(COUNT(K61:K63),1) + AND(COUNT(K67:K69),1) + AND(COUNT(K73:K75),1) + AND(COUNT(K79:K81),1) + AND(COUNT(K84:K86),1) + AND(COUNT(K89:K91),1) + AND(COUNT(K93:K95),1) + AND(COUNT(K98:K100),1) + AND(COUNT(K103:K105),1) + AND(COUNT(K108:K110),1) + AND(COUNT(K112:K114),1) + AND(COUNT(K117:K119),1) + AND(COUNT(K122:K124),1) + AND(COUNT(K127),1) + AND(COUNT(K130:K132),1) + AND(COUNT(K135:K136),1) + AND(COUNT(K138:K142),1) + AND(COUNT(K144:K146),1) + AND(COUNT(K148:K150),1) + AND(COUNT(K152:K154),1)</f>
        <v/>
      </c>
      <c r="L174" s="107">
        <f>AND(COUNT(L3:L5),1) + AND(COUNT(L7:L9),1) + AND(COUNT(L11:L13),1) + AND(COUNT(L15:L17),1) + AND(COUNT(L19:L21),1) + AND(COUNT(L23:L24),1) + AND(COUNT(L27:L29),1) + AND(COUNT(L32:L34),1) + AND(COUNT(L37:L39),1) + AND(COUNT(L41:L43),1) + AND(COUNT(L46:L48),1) + AND(COUNT(L51:L54),1) +AND(COUNT(L57:L59),1) + AND(COUNT(L61:L63),1) + AND(COUNT(L67:L69),1) + AND(COUNT(L73:L75),1) + AND(COUNT(L79:L81),1) + AND(COUNT(L84:L86),1) + AND(COUNT(L89:L91),1) + AND(COUNT(L93:L95),1) + AND(COUNT(L98:L100),1) + AND(COUNT(L103:L105),1) + AND(COUNT(L108:L110),1) + AND(COUNT(L112:L114),1) + AND(COUNT(L117:L119),1) + AND(COUNT(L122:L124),1) + AND(COUNT(L127),1) + AND(COUNT(L130:L132),1) + AND(COUNT(L135:L136),1) + AND(COUNT(L138:L142),1) + AND(COUNT(L144:L146),1) + AND(COUNT(L148:L150),1) + AND(COUNT(L152:L154),1)</f>
        <v/>
      </c>
      <c r="M174" s="107">
        <f>AND(COUNT(M3:M5),1) + AND(COUNT(M7:M9),1) + AND(COUNT(M11:M13),1) + AND(COUNT(M15:M17),1) + AND(COUNT(M19:M21),1) + AND(COUNT(M23:M24),1) + AND(COUNT(M27:M29),1) + AND(COUNT(M32:M34),1) + AND(COUNT(M37:M39),1) + AND(COUNT(M41:M43),1) + AND(COUNT(M46:M48),1) + AND(COUNT(M51:M54),1) +AND(COUNT(M57:M59),1) + AND(COUNT(M61:M63),1) + AND(COUNT(M67:M69),1) + AND(COUNT(M73:M75),1) + AND(COUNT(M79:M81),1) + AND(COUNT(M84:M86),1) + AND(COUNT(M89:M91),1) + AND(COUNT(M93:M95),1) + AND(COUNT(M98:M100),1) + AND(COUNT(M103:M105),1) + AND(COUNT(M108:M110),1) + AND(COUNT(M112:M114),1) + AND(COUNT(M117:M119),1) + AND(COUNT(M122:M124),1) + AND(COUNT(M127),1) + AND(COUNT(M130:M132),1) + AND(COUNT(M135:M136),1) + AND(COUNT(M138:M142),1) + AND(COUNT(M144:M146),1) + AND(COUNT(M148:M150),1) + AND(COUNT(M152:M154),1)</f>
        <v/>
      </c>
      <c r="N174" s="107">
        <f>AND(COUNT(N3:N5),1) + AND(COUNT(N7:N9),1) + AND(COUNT(N11:N13),1) + AND(COUNT(N15:N17),1) + AND(COUNT(N19:N21),1) + AND(COUNT(N23:N24),1) + AND(COUNT(N27:N29),1) + AND(COUNT(N32:N34),1) + AND(COUNT(N37:N39),1) + AND(COUNT(N41:N43),1) + AND(COUNT(N46:N48),1) + AND(COUNT(N51:N54),1) +AND(COUNT(N57:N59),1) + AND(COUNT(N61:N63),1) + AND(COUNT(N67:N69),1) + AND(COUNT(N73:N75),1) + AND(COUNT(N79:N81),1) + AND(COUNT(N84:N86),1) + AND(COUNT(N89:N91),1) + AND(COUNT(N93:N95),1) + AND(COUNT(N98:N100),1) + AND(COUNT(N103:N105),1) + AND(COUNT(N108:N110),1) + AND(COUNT(N112:N114),1) + AND(COUNT(N117:N119),1) + AND(COUNT(N122:N124),1) + AND(COUNT(N127),1) + AND(COUNT(N130:N132),1) + AND(COUNT(N135:N136),1) + AND(COUNT(N138:N142),1) + AND(COUNT(N144:N146),1) + AND(COUNT(N148:N150),1) + AND(COUNT(N152:N154),1)</f>
        <v/>
      </c>
      <c r="O174" s="107">
        <f>AND(COUNT(O3:O5),1) + AND(COUNT(O7:O9),1) + AND(COUNT(O11:O13),1) + AND(COUNT(O15:O17),1) + AND(COUNT(O19:O21),1) + AND(COUNT(O23:O24),1) + AND(COUNT(O27:O29),1) + AND(COUNT(O32:O34),1) + AND(COUNT(O37:O39),1) + AND(COUNT(O41:O43),1) + AND(COUNT(O46:O48),1) + AND(COUNT(O51:O54),1) +AND(COUNT(O57:O59),1) + AND(COUNT(O61:O63),1) + AND(COUNT(O67:O69),1) + AND(COUNT(O73:O75),1) + AND(COUNT(O79:O81),1) + AND(COUNT(O84:O86),1) + AND(COUNT(O89:O91),1) + AND(COUNT(O93:O95),1) + AND(COUNT(O98:O100),1) + AND(COUNT(O103:O105),1) + AND(COUNT(O108:O110),1) + AND(COUNT(O112:O114),1) + AND(COUNT(O117:O119),1) + AND(COUNT(O122:O124),1) + AND(COUNT(O127),1) + AND(COUNT(O130:O132),1) + AND(COUNT(O135:O136),1) + AND(COUNT(O138:O142),1) + AND(COUNT(O144:O146),1) + AND(COUNT(O148:O150),1) + AND(COUNT(O152:O154),1)</f>
        <v/>
      </c>
      <c r="P174" s="107">
        <f>AND(COUNT(P3:P5),1) + AND(COUNT(P7:P9),1) + AND(COUNT(P11:P13),1) + AND(COUNT(P15:P17),1) + AND(COUNT(P19:P21),1) + AND(COUNT(P23:P24),1) + AND(COUNT(P27:P29),1) + AND(COUNT(P32:P34),1) + AND(COUNT(P37:P39),1) + AND(COUNT(P41:P43),1) + AND(COUNT(P46:P48),1) + AND(COUNT(P51:P54),1) +AND(COUNT(P57:P59),1) + AND(COUNT(P61:P63),1) + AND(COUNT(P67:P69),1) + AND(COUNT(P73:P75),1) + AND(COUNT(P79:P81),1) + AND(COUNT(P84:P86),1) + AND(COUNT(P89:P91),1) + AND(COUNT(P93:P95),1) + AND(COUNT(P98:P100),1) + AND(COUNT(P103:P105),1) + AND(COUNT(P108:P110),1) + AND(COUNT(P112:P114),1) + AND(COUNT(P117:P119),1) + AND(COUNT(P122:P124),1) + AND(COUNT(P127),1) + AND(COUNT(P130:P132),1) + AND(COUNT(P135:P136),1) + AND(COUNT(P138:P142),1) + AND(COUNT(P144:P146),1) + AND(COUNT(P148:P150),1) + AND(COUNT(P152:P154),1)</f>
        <v/>
      </c>
      <c r="Q174" s="107">
        <f>AND(COUNT(Q3:Q5),1) + AND(COUNT(Q7:Q9),1) + AND(COUNT(Q11:Q13),1) + AND(COUNT(Q15:Q17),1) + AND(COUNT(Q19:Q21),1) + AND(COUNT(Q23:Q24),1) + AND(COUNT(Q27:Q29),1) + AND(COUNT(Q32:Q34),1) + AND(COUNT(Q37:Q39),1) + AND(COUNT(Q41:Q43),1) + AND(COUNT(Q46:Q48),1) + AND(COUNT(Q51:Q54),1) +AND(COUNT(Q57:Q59),1) + AND(COUNT(Q61:Q63),1) + AND(COUNT(Q67:Q69),1) + AND(COUNT(Q73:Q75),1) + AND(COUNT(Q79:Q81),1) + AND(COUNT(Q84:Q86),1) + AND(COUNT(Q89:Q91),1) + AND(COUNT(Q93:Q95),1) + AND(COUNT(Q98:Q100),1) + AND(COUNT(Q103:Q105),1) + AND(COUNT(Q108:Q110),1) + AND(COUNT(Q112:Q114),1) + AND(COUNT(Q117:Q119),1) + AND(COUNT(Q122:Q124),1) + AND(COUNT(Q127),1) + AND(COUNT(Q130:Q132),1) + AND(COUNT(Q135:Q136),1) + AND(COUNT(Q138:Q142),1) + AND(COUNT(Q144:Q146),1) + AND(COUNT(Q148:Q150),1) + AND(COUNT(Q152:Q154),1)</f>
        <v/>
      </c>
      <c r="R174" s="107">
        <f>AND(COUNT(R3:R5),1) + AND(COUNT(R7:R9),1) + AND(COUNT(R11:R13),1) + AND(COUNT(R15:R17),1) + AND(COUNT(R19:R21),1) + AND(COUNT(R23:R24),1) + AND(COUNT(R27:R29),1) + AND(COUNT(R32:R34),1) + AND(COUNT(R37:R39),1) + AND(COUNT(R41:R43),1) + AND(COUNT(R46:R48),1) + AND(COUNT(R51:R54),1) +AND(COUNT(R57:R59),1) + AND(COUNT(R61:R63),1) + AND(COUNT(R67:R69),1) + AND(COUNT(R73:R75),1) + AND(COUNT(R79:R81),1) + AND(COUNT(R84:R86),1) + AND(COUNT(R89:R91),1) + AND(COUNT(R93:R95),1) + AND(COUNT(R98:R100),1) + AND(COUNT(R103:R105),1) + AND(COUNT(R108:R110),1) + AND(COUNT(R112:R114),1) + AND(COUNT(R117:R119),1) + AND(COUNT(R122:R124),1) + AND(COUNT(R127),1) + AND(COUNT(R130:R132),1) + AND(COUNT(R135:R136),1) + AND(COUNT(R138:R142),1) + AND(COUNT(R144:R146),1) + AND(COUNT(R148:R150),1) + AND(COUNT(R152:R154),1)</f>
        <v/>
      </c>
      <c r="S174" s="107">
        <f>AND(COUNT(S3:S5),1) + AND(COUNT(S7:S9),1) + AND(COUNT(S11:S13),1) + AND(COUNT(S15:S17),1) + AND(COUNT(S19:S21),1) + AND(COUNT(S23:S24),1) + AND(COUNT(S27:S29),1) + AND(COUNT(S32:S34),1) + AND(COUNT(S37:S39),1) + AND(COUNT(S41:S43),1) + AND(COUNT(S46:S48),1) + AND(COUNT(S51:S54),1) +AND(COUNT(S57:S59),1) + AND(COUNT(S61:S63),1) + AND(COUNT(S67:S69),1) + AND(COUNT(S73:S75),1) + AND(COUNT(S79:S81),1) + AND(COUNT(S84:S86),1) + AND(COUNT(S89:S91),1) + AND(COUNT(S93:S95),1) + AND(COUNT(S98:S100),1) + AND(COUNT(S103:S105),1) + AND(COUNT(S108:S110),1) + AND(COUNT(S112:S114),1) + AND(COUNT(S117:S119),1) + AND(COUNT(S122:S124),1) + AND(COUNT(S127),1) + AND(COUNT(S130:S132),1) + AND(COUNT(S135:S136),1) + AND(COUNT(S138:S142),1) + AND(COUNT(S144:S146),1) + AND(COUNT(S148:S150),1) + AND(COUNT(S152:S154),1)</f>
        <v/>
      </c>
      <c r="T174" s="107">
        <f>AND(COUNT(T3:T5),1) + AND(COUNT(T7:T9),1) + AND(COUNT(T11:T13),1) + AND(COUNT(T15:T17),1) + AND(COUNT(T19:T21),1) + AND(COUNT(T23:T24),1) + AND(COUNT(T27:T29),1) + AND(COUNT(T32:T34),1) + AND(COUNT(T37:T39),1) + AND(COUNT(T41:T43),1) + AND(COUNT(T46:T48),1) + AND(COUNT(T51:T54),1) +AND(COUNT(T57:T59),1) + AND(COUNT(T61:T63),1) + AND(COUNT(T67:T69),1) + AND(COUNT(T73:T75),1) + AND(COUNT(T79:T81),1) + AND(COUNT(T84:T86),1) + AND(COUNT(T89:T91),1) + AND(COUNT(T93:T95),1) + AND(COUNT(T98:T100),1) + AND(COUNT(T103:T105),1) + AND(COUNT(T108:T110),1) + AND(COUNT(T112:T114),1) + AND(COUNT(T117:T119),1) + AND(COUNT(T122:T124),1) + AND(COUNT(T127),1) + AND(COUNT(T130:T132),1) + AND(COUNT(T135:T136),1) + AND(COUNT(T138:T142),1) + AND(COUNT(T144:T146),1) + AND(COUNT(T148:T150),1) + AND(COUNT(T152:T154),1)</f>
        <v/>
      </c>
      <c r="U174" s="107">
        <f>AND(COUNT(U3:U5),1) + AND(COUNT(U7:U9),1) + AND(COUNT(U11:U13),1) + AND(COUNT(U15:U17),1) + AND(COUNT(U19:U21),1) + AND(COUNT(U23:U24),1) + AND(COUNT(U27:U29),1) + AND(COUNT(U32:U34),1) + AND(COUNT(U37:U39),1) + AND(COUNT(U41:U43),1) + AND(COUNT(U46:U48),1) + AND(COUNT(U51:U54),1) +AND(COUNT(U57:U59),1) + AND(COUNT(U61:U63),1) + AND(COUNT(U67:U69),1) + AND(COUNT(U73:U75),1) + AND(COUNT(U79:U81),1) + AND(COUNT(U84:U86),1) + AND(COUNT(U89:U91),1) + AND(COUNT(U93:U95),1) + AND(COUNT(U98:U100),1) + AND(COUNT(U103:U105),1) + AND(COUNT(U108:U110),1) + AND(COUNT(U112:U114),1) + AND(COUNT(U117:U119),1) + AND(COUNT(U122:U124),1) + AND(COUNT(U127),1) + AND(COUNT(U130:U132),1) + AND(COUNT(U135:U136),1) + AND(COUNT(U138:U142),1) + AND(COUNT(U144:U146),1) + AND(COUNT(U148:U150),1) + AND(COUNT(U152:U154),1)</f>
        <v/>
      </c>
      <c r="V174" s="107">
        <f>AND(COUNT(V3:V5),1) + AND(COUNT(V7:V9),1) + AND(COUNT(V11:V13),1) + AND(COUNT(V15:V17),1) + AND(COUNT(V19:V21),1) + AND(COUNT(V23:V24),1) + AND(COUNT(V27:V29),1) + AND(COUNT(V32:V34),1) + AND(COUNT(V37:V39),1) + AND(COUNT(V41:V43),1) + AND(COUNT(V46:V48),1) + AND(COUNT(V51:V54),1) +AND(COUNT(V57:V59),1) + AND(COUNT(V61:V63),1) + AND(COUNT(V67:V69),1) + AND(COUNT(V73:V75),1) + AND(COUNT(V79:V81),1) + AND(COUNT(V84:V86),1) + AND(COUNT(V89:V91),1) + AND(COUNT(V93:V95),1) + AND(COUNT(V98:V100),1) + AND(COUNT(V103:V105),1) + AND(COUNT(V108:V110),1) + AND(COUNT(V112:V114),1) + AND(COUNT(V117:V119),1) + AND(COUNT(V122:V124),1) + AND(COUNT(V127),1) + AND(COUNT(V130:V132),1) + AND(COUNT(V135:V136),1) + AND(COUNT(V138:V142),1) + AND(COUNT(V144:V146),1) + AND(COUNT(V148:V150),1) + AND(COUNT(V152:V154),1)</f>
        <v/>
      </c>
      <c r="W174" s="107">
        <f>AND(COUNT(W3:W5),1) + AND(COUNT(W7:W9),1) + AND(COUNT(W11:W13),1) + AND(COUNT(W15:W17),1) + AND(COUNT(W19:W21),1) + AND(COUNT(W23:W24),1) + AND(COUNT(W27:W29),1) + AND(COUNT(W32:W34),1) + AND(COUNT(W37:W39),1) + AND(COUNT(W41:W43),1) + AND(COUNT(W46:W48),1) + AND(COUNT(W51:W54),1) +AND(COUNT(W57:W59),1) + AND(COUNT(W61:W63),1) + AND(COUNT(W67:W69),1) + AND(COUNT(W73:W75),1) + AND(COUNT(W79:W81),1) + AND(COUNT(W84:W86),1) + AND(COUNT(W89:W91),1) + AND(COUNT(W93:W95),1) + AND(COUNT(W98:W100),1) + AND(COUNT(W103:W105),1) + AND(COUNT(W108:W110),1) + AND(COUNT(W112:W114),1) + AND(COUNT(W117:W119),1) + AND(COUNT(W122:W124),1) + AND(COUNT(W127),1) + AND(COUNT(W130:W132),1) + AND(COUNT(W135:W136),1) + AND(COUNT(W138:W142),1) + AND(COUNT(W144:W146),1) + AND(COUNT(W148:W150),1) + AND(COUNT(W152:W154),1)</f>
        <v/>
      </c>
      <c r="X174" s="107">
        <f>AND(COUNT(X3:X5),1) + AND(COUNT(X7:X9),1) + AND(COUNT(X11:X13),1) + AND(COUNT(X15:X17),1) + AND(COUNT(X19:X21),1) + AND(COUNT(X23:X24),1) + AND(COUNT(X27:X29),1) + AND(COUNT(X32:X34),1) + AND(COUNT(X37:X39),1) + AND(COUNT(X41:X43),1) + AND(COUNT(X46:X48),1) + AND(COUNT(X51:X54),1) +AND(COUNT(X57:X59),1) + AND(COUNT(X61:X63),1) + AND(COUNT(X67:X69),1) + AND(COUNT(X73:X75),1) + AND(COUNT(X79:X81),1) + AND(COUNT(X84:X86),1) + AND(COUNT(X89:X91),1) + AND(COUNT(X93:X95),1) + AND(COUNT(X98:X100),1) + AND(COUNT(X103:X105),1) + AND(COUNT(X108:X110),1) + AND(COUNT(X112:X114),1) + AND(COUNT(X117:X119),1) + AND(COUNT(X122:X124),1) + AND(COUNT(X127),1) + AND(COUNT(X130:X132),1) + AND(COUNT(X135:X136),1) + AND(COUNT(X138:X142),1) + AND(COUNT(X144:X146),1) + AND(COUNT(X148:X150),1) + AND(COUNT(X152:X154),1)</f>
        <v/>
      </c>
      <c r="Y174" s="107">
        <f>AND(COUNT(Y3:Y5),1) + AND(COUNT(Y7:Y9),1) + AND(COUNT(Y11:Y13),1) + AND(COUNT(Y15:Y17),1) + AND(COUNT(Y19:Y21),1) + AND(COUNT(Y23:Y24),1) + AND(COUNT(Y27:Y29),1) + AND(COUNT(Y32:Y34),1) + AND(COUNT(Y37:Y39),1) + AND(COUNT(Y41:Y43),1) + AND(COUNT(Y46:Y48),1) + AND(COUNT(Y51:Y54),1) +AND(COUNT(Y57:Y59),1) + AND(COUNT(Y61:Y63),1) + AND(COUNT(Y67:Y69),1) + AND(COUNT(Y73:Y75),1) + AND(COUNT(Y79:Y81),1) + AND(COUNT(Y84:Y86),1) + AND(COUNT(Y89:Y91),1) + AND(COUNT(Y93:Y95),1) + AND(COUNT(Y98:Y100),1) + AND(COUNT(Y103:Y105),1) + AND(COUNT(Y108:Y110),1) + AND(COUNT(Y112:Y114),1) + AND(COUNT(Y117:Y119),1) + AND(COUNT(Y122:Y124),1) + AND(COUNT(Y127),1) + AND(COUNT(Y130:Y132),1) + AND(COUNT(Y135:Y136),1) + AND(COUNT(Y138:Y142),1) + AND(COUNT(Y144:Y146),1) + AND(COUNT(Y148:Y150),1) + AND(COUNT(Y152:Y154),1)</f>
        <v/>
      </c>
      <c r="Z174" s="107">
        <f>AND(COUNT(Z3:Z5),1) + AND(COUNT(Z7:Z9),1) + AND(COUNT(Z11:Z13),1) + AND(COUNT(Z15:Z17),1) + AND(COUNT(Z19:Z21),1) + AND(COUNT(Z23:Z24),1) + AND(COUNT(Z27:Z29),1) + AND(COUNT(Z32:Z34),1) + AND(COUNT(Z37:Z39),1) + AND(COUNT(Z41:Z43),1) + AND(COUNT(Z46:Z48),1) + AND(COUNT(Z51:Z54),1) +AND(COUNT(Z57:Z59),1) + AND(COUNT(Z61:Z63),1) + AND(COUNT(Z67:Z69),1) + AND(COUNT(Z73:Z75),1) + AND(COUNT(Z79:Z81),1) + AND(COUNT(Z84:Z86),1) + AND(COUNT(Z89:Z91),1) + AND(COUNT(Z93:Z95),1) + AND(COUNT(Z98:Z100),1) + AND(COUNT(Z103:Z105),1) + AND(COUNT(Z108:Z110),1) + AND(COUNT(Z112:Z114),1) + AND(COUNT(Z117:Z119),1) + AND(COUNT(Z122:Z124),1) + AND(COUNT(Z127),1) + AND(COUNT(Z130:Z132),1) + AND(COUNT(Z135:Z136),1) + AND(COUNT(Z138:Z142),1) + AND(COUNT(Z144:Z146),1) + AND(COUNT(Z148:Z150),1) + AND(COUNT(Z152:Z154),1)</f>
        <v/>
      </c>
      <c r="AA174" s="107">
        <f>AND(COUNT(AA3:AA5),1) + AND(COUNT(AA7:AA9),1) + AND(COUNT(AA11:AA13),1) + AND(COUNT(AA15:AA17),1) + AND(COUNT(AA19:AA21),1) + AND(COUNT(AA23:AA24),1) + AND(COUNT(AA27:AA29),1) + AND(COUNT(AA32:AA34),1) + AND(COUNT(AA37:AA39),1) + AND(COUNT(AA41:AA43),1) + AND(COUNT(AA46:AA48),1) + AND(COUNT(AA51:AA54),1) +AND(COUNT(AA57:AA59),1) + AND(COUNT(AA61:AA63),1) + AND(COUNT(AA67:AA69),1) + AND(COUNT(AA73:AA75),1) + AND(COUNT(AA79:AA81),1) + AND(COUNT(AA84:AA86),1) + AND(COUNT(AA89:AA91),1) + AND(COUNT(AA93:AA95),1) + AND(COUNT(AA98:AA100),1) + AND(COUNT(AA103:AA105),1) + AND(COUNT(AA108:AA110),1) + AND(COUNT(AA112:AA114),1) + AND(COUNT(AA117:AA119),1) + AND(COUNT(AA122:AA124),1) + AND(COUNT(AA127),1) + AND(COUNT(AA130:AA132),1) + AND(COUNT(AA135:AA136),1) + AND(COUNT(AA138:AA142),1) + AND(COUNT(AA144:AA146),1) + AND(COUNT(AA148:AA150),1) + AND(COUNT(AA152:AA154),1)</f>
        <v/>
      </c>
      <c r="AB174" s="107">
        <f>AND(COUNT(AB3:AB5),1) + AND(COUNT(AB7:AB9),1) + AND(COUNT(AB11:AB13),1) + AND(COUNT(AB15:AB17),1) + AND(COUNT(AB19:AB21),1) + AND(COUNT(AB23:AB24),1) + AND(COUNT(AB27:AB29),1) + AND(COUNT(AB32:AB34),1) + AND(COUNT(AB37:AB39),1) + AND(COUNT(AB41:AB43),1) + AND(COUNT(AB46:AB48),1) + AND(COUNT(AB51:AB54),1) +AND(COUNT(AB57:AB59),1) + AND(COUNT(AB61:AB63),1) + AND(COUNT(AB67:AB69),1) + AND(COUNT(AB73:AB75),1) + AND(COUNT(AB79:AB81),1) + AND(COUNT(AB84:AB86),1) + AND(COUNT(AB89:AB91),1) + AND(COUNT(AB93:AB95),1) + AND(COUNT(AB98:AB100),1) + AND(COUNT(AB103:AB105),1) + AND(COUNT(AB108:AB110),1) + AND(COUNT(AB112:AB114),1) + AND(COUNT(AB117:AB119),1) + AND(COUNT(AB122:AB124),1) + AND(COUNT(AB127),1) + AND(COUNT(AB130:AB132),1) + AND(COUNT(AB135:AB136),1) + AND(COUNT(AB138:AB142),1) + AND(COUNT(AB144:AB146),1) + AND(COUNT(AB148:AB150),1) + AND(COUNT(AB152:AB154),1)</f>
        <v/>
      </c>
      <c r="AC174" s="107">
        <f>AND(COUNT(AC3:AC5),1) + AND(COUNT(AC7:AC9),1) + AND(COUNT(AC11:AC13),1) + AND(COUNT(AC15:AC17),1) + AND(COUNT(AC19:AC21),1) + AND(COUNT(AC23:AC24),1) + AND(COUNT(AC27:AC29),1) + AND(COUNT(AC32:AC34),1) + AND(COUNT(AC37:AC39),1) + AND(COUNT(AC41:AC43),1) + AND(COUNT(AC46:AC48),1) + AND(COUNT(AC51:AC54),1) +AND(COUNT(AC57:AC59),1) + AND(COUNT(AC61:AC63),1) + AND(COUNT(AC67:AC69),1) + AND(COUNT(AC73:AC75),1) + AND(COUNT(AC79:AC81),1) + AND(COUNT(AC84:AC86),1) + AND(COUNT(AC89:AC91),1) + AND(COUNT(AC93:AC95),1) + AND(COUNT(AC98:AC100),1) + AND(COUNT(AC103:AC105),1) + AND(COUNT(AC108:AC110),1) + AND(COUNT(AC112:AC114),1) + AND(COUNT(AC117:AC119),1) + AND(COUNT(AC122:AC124),1) + AND(COUNT(AC127),1) + AND(COUNT(AC130:AC132),1) + AND(COUNT(AC135:AC136),1) + AND(COUNT(AC138:AC142),1) + AND(COUNT(AC144:AC146),1) + AND(COUNT(AC148:AC150),1) + AND(COUNT(AC152:AC154),1)</f>
        <v/>
      </c>
      <c r="AD174" s="107">
        <f>AND(COUNT(AD3:AD5),1) + AND(COUNT(AD7:AD9),1) + AND(COUNT(AD11:AD13),1) + AND(COUNT(AD15:AD17),1) + AND(COUNT(AD19:AD21),1) + AND(COUNT(AD23:AD24),1) + AND(COUNT(AD27:AD29),1) + AND(COUNT(AD32:AD34),1) + AND(COUNT(AD37:AD39),1) + AND(COUNT(AD41:AD43),1) + AND(COUNT(AD46:AD48),1) + AND(COUNT(AD51:AD54),1) +AND(COUNT(AD57:AD59),1) + AND(COUNT(AD61:AD63),1) + AND(COUNT(AD67:AD69),1) + AND(COUNT(AD73:AD75),1) + AND(COUNT(AD79:AD81),1) + AND(COUNT(AD84:AD86),1) + AND(COUNT(AD89:AD91),1) + AND(COUNT(AD93:AD95),1) + AND(COUNT(AD98:AD100),1) + AND(COUNT(AD103:AD105),1) + AND(COUNT(AD108:AD110),1) + AND(COUNT(AD112:AD114),1) + AND(COUNT(AD117:AD119),1) + AND(COUNT(AD122:AD124),1) + AND(COUNT(AD127),1) + AND(COUNT(AD130:AD132),1) + AND(COUNT(AD135:AD136),1) + AND(COUNT(AD138:AD142),1) + AND(COUNT(AD144:AD146),1) + AND(COUNT(AD148:AD150),1) + AND(COUNT(AD152:AD154),1)</f>
        <v/>
      </c>
      <c r="AE174" s="107">
        <f>AND(COUNT(AE3:AE5),1) + AND(COUNT(AE7:AE9),1) + AND(COUNT(AE11:AE13),1) + AND(COUNT(AE15:AE17),1) + AND(COUNT(AE19:AE21),1) + AND(COUNT(AE23:AE24),1) + AND(COUNT(AE27:AE29),1) + AND(COUNT(AE32:AE34),1) + AND(COUNT(AE37:AE39),1) + AND(COUNT(AE41:AE43),1) + AND(COUNT(AE46:AE48),1) + AND(COUNT(AE51:AE54),1) +AND(COUNT(AE57:AE59),1) + AND(COUNT(AE61:AE63),1) + AND(COUNT(AE67:AE69),1) + AND(COUNT(AE73:AE75),1) + AND(COUNT(AE79:AE81),1) + AND(COUNT(AE84:AE86),1) + AND(COUNT(AE89:AE91),1) + AND(COUNT(AE93:AE95),1) + AND(COUNT(AE98:AE100),1) + AND(COUNT(AE103:AE105),1) + AND(COUNT(AE108:AE110),1) + AND(COUNT(AE112:AE114),1) + AND(COUNT(AE117:AE119),1) + AND(COUNT(AE122:AE124),1) + AND(COUNT(AE127),1) + AND(COUNT(AE130:AE132),1) + AND(COUNT(AE135:AE136),1) + AND(COUNT(AE138:AE142),1) + AND(COUNT(AE144:AE146),1) + AND(COUNT(AE148:AE150),1) + AND(COUNT(AE152:AE154),1)</f>
        <v/>
      </c>
      <c r="AF174" s="107">
        <f>AND(COUNT(AF3:AF5),1) + AND(COUNT(AF7:AF9),1) + AND(COUNT(AF11:AF13),1) + AND(COUNT(AF15:AF17),1) + AND(COUNT(AF19:AF21),1) + AND(COUNT(AF23:AF24),1) + AND(COUNT(AF27:AF29),1) + AND(COUNT(AF32:AF34),1) + AND(COUNT(AF37:AF39),1) + AND(COUNT(AF41:AF43),1) + AND(COUNT(AF46:AF48),1) + AND(COUNT(AF51:AF54),1) +AND(COUNT(AF57:AF59),1) + AND(COUNT(AF61:AF63),1) + AND(COUNT(AF67:AF69),1) + AND(COUNT(AF73:AF75),1) + AND(COUNT(AF79:AF81),1) + AND(COUNT(AF84:AF86),1) + AND(COUNT(AF89:AF91),1) + AND(COUNT(AF93:AF95),1) + AND(COUNT(AF98:AF100),1) + AND(COUNT(AF103:AF105),1) + AND(COUNT(AF108:AF110),1) + AND(COUNT(AF112:AF114),1) + AND(COUNT(AF117:AF119),1) + AND(COUNT(AF122:AF124),1) + AND(COUNT(AF127),1) + AND(COUNT(AF130:AF132),1) + AND(COUNT(AF135:AF136),1) + AND(COUNT(AF138:AF142),1) + AND(COUNT(AF144:AF146),1) + AND(COUNT(AF148:AF150),1) + AND(COUNT(AF152:AF154),1)</f>
        <v/>
      </c>
      <c r="AG174" s="107">
        <f>AND(COUNT(AG3:AG5),1) + AND(COUNT(AG7:AG9),1) + AND(COUNT(AG11:AG13),1) + AND(COUNT(AG15:AG17),1) + AND(COUNT(AG19:AG21),1) + AND(COUNT(AG23:AG24),1) + AND(COUNT(AG27:AG29),1) + AND(COUNT(AG32:AG34),1) + AND(COUNT(AG37:AG39),1) + AND(COUNT(AG41:AG43),1) + AND(COUNT(AG46:AG48),1) + AND(COUNT(AG51:AG54),1) +AND(COUNT(AG57:AG59),1) + AND(COUNT(AG61:AG63),1) + AND(COUNT(AG67:AG69),1) + AND(COUNT(AG73:AG75),1) + AND(COUNT(AG79:AG81),1) + AND(COUNT(AG84:AG86),1) + AND(COUNT(AG89:AG91),1) + AND(COUNT(AG93:AG95),1) + AND(COUNT(AG98:AG100),1) + AND(COUNT(AG103:AG105),1) + AND(COUNT(AG108:AG110),1) + AND(COUNT(AG112:AG114),1) + AND(COUNT(AG117:AG119),1) + AND(COUNT(AG122:AG124),1) + AND(COUNT(AG127),1) + AND(COUNT(AG130:AG132),1) + AND(COUNT(AG135:AG136),1) + AND(COUNT(AG138:AG142),1) + AND(COUNT(AG144:AG146),1) + AND(COUNT(AG148:AG150),1) + AND(COUNT(AG152:AG154),1)</f>
        <v/>
      </c>
      <c r="AH174" s="107">
        <f>AND(COUNT(AH3:AH5),1) + AND(COUNT(AH7:AH9),1) + AND(COUNT(AH11:AH13),1) + AND(COUNT(AH15:AH17),1) + AND(COUNT(AH19:AH21),1) + AND(COUNT(AH23:AH24),1) + AND(COUNT(AH27:AH29),1) + AND(COUNT(AH32:AH34),1) + AND(COUNT(AH37:AH39),1) + AND(COUNT(AH41:AH43),1) + AND(COUNT(AH46:AH48),1) + AND(COUNT(AH51:AH54),1) +AND(COUNT(AH57:AH59),1) + AND(COUNT(AH61:AH63),1) + AND(COUNT(AH67:AH69),1) + AND(COUNT(AH73:AH75),1) + AND(COUNT(AH79:AH81),1) + AND(COUNT(AH84:AH86),1) + AND(COUNT(AH89:AH91),1) + AND(COUNT(AH93:AH95),1) + AND(COUNT(AH98:AH100),1) + AND(COUNT(AH103:AH105),1) + AND(COUNT(AH108:AH110),1) + AND(COUNT(AH112:AH114),1) + AND(COUNT(AH117:AH119),1) + AND(COUNT(AH122:AH124),1) + AND(COUNT(AH127),1) + AND(COUNT(AH130:AH132),1) + AND(COUNT(AH135:AH136),1) + AND(COUNT(AH138:AH142),1) + AND(COUNT(AH144:AH146),1) + AND(COUNT(AH148:AH150),1) + AND(COUNT(AH152:AH154),1)</f>
        <v/>
      </c>
      <c r="AI174" s="107">
        <f>AND(COUNT(AI3:AI5),1) + AND(COUNT(AI7:AI9),1) + AND(COUNT(AI11:AI13),1) + AND(COUNT(AI15:AI17),1) + AND(COUNT(AI19:AI21),1) + AND(COUNT(AI23:AI24),1) + AND(COUNT(AI27:AI29),1) + AND(COUNT(AI32:AI34),1) + AND(COUNT(AI37:AI39),1) + AND(COUNT(AI41:AI43),1) + AND(COUNT(AI46:AI48),1) + AND(COUNT(AI51:AI54),1) +AND(COUNT(AI57:AI59),1) + AND(COUNT(AI61:AI63),1) + AND(COUNT(AI67:AI69),1) + AND(COUNT(AI73:AI75),1) + AND(COUNT(AI79:AI81),1) + AND(COUNT(AI84:AI86),1) + AND(COUNT(AI89:AI91),1) + AND(COUNT(AI93:AI95),1) + AND(COUNT(AI98:AI100),1) + AND(COUNT(AI103:AI105),1) + AND(COUNT(AI108:AI110),1) + AND(COUNT(AI112:AI114),1) + AND(COUNT(AI117:AI119),1) + AND(COUNT(AI122:AI124),1) + AND(COUNT(AI127),1) + AND(COUNT(AI130:AI132),1) + AND(COUNT(AI135:AI136),1) + AND(COUNT(AI138:AI142),1) + AND(COUNT(AI144:AI146),1) + AND(COUNT(AI148:AI150),1) + AND(COUNT(AI152:AI154),1)</f>
        <v/>
      </c>
      <c r="AJ174" s="107">
        <f>AND(COUNT(AJ3:AJ5),1) + AND(COUNT(AJ7:AJ9),1) + AND(COUNT(AJ11:AJ13),1) + AND(COUNT(AJ15:AJ17),1) + AND(COUNT(AJ19:AJ21),1) + AND(COUNT(AJ23:AJ24),1) + AND(COUNT(AJ27:AJ29),1) + AND(COUNT(AJ32:AJ34),1) + AND(COUNT(AJ37:AJ39),1) + AND(COUNT(AJ41:AJ43),1) + AND(COUNT(AJ46:AJ48),1) + AND(COUNT(AJ51:AJ54),1) +AND(COUNT(AJ57:AJ59),1) + AND(COUNT(AJ61:AJ63),1) + AND(COUNT(AJ67:AJ69),1) + AND(COUNT(AJ73:AJ75),1) + AND(COUNT(AJ79:AJ81),1) + AND(COUNT(AJ84:AJ86),1) + AND(COUNT(AJ89:AJ91),1) + AND(COUNT(AJ93:AJ95),1) + AND(COUNT(AJ98:AJ100),1) + AND(COUNT(AJ103:AJ105),1) + AND(COUNT(AJ108:AJ110),1) + AND(COUNT(AJ112:AJ114),1) + AND(COUNT(AJ117:AJ119),1) + AND(COUNT(AJ122:AJ124),1) + AND(COUNT(AJ127),1) + AND(COUNT(AJ130:AJ132),1) + AND(COUNT(AJ135:AJ136),1) + AND(COUNT(AJ138:AJ142),1) + AND(COUNT(AJ144:AJ146),1) + AND(COUNT(AJ148:AJ150),1) + AND(COUNT(AJ152:AJ154),1)</f>
        <v/>
      </c>
      <c r="AK174" s="107">
        <f>AND(COUNT(AK3:AK5),1) + AND(COUNT(AK7:AK9),1) + AND(COUNT(AK11:AK13),1) + AND(COUNT(AK15:AK17),1) + AND(COUNT(AK19:AK21),1) + AND(COUNT(AK23:AK24),1) + AND(COUNT(AK27:AK29),1) + AND(COUNT(AK32:AK34),1) + AND(COUNT(AK37:AK39),1) + AND(COUNT(AK41:AK43),1) + AND(COUNT(AK46:AK48),1) + AND(COUNT(AK51:AK54),1) +AND(COUNT(AK57:AK59),1) + AND(COUNT(AK61:AK63),1) + AND(COUNT(AK67:AK69),1) + AND(COUNT(AK73:AK75),1) + AND(COUNT(AK79:AK81),1) + AND(COUNT(AK84:AK86),1) + AND(COUNT(AK89:AK91),1) + AND(COUNT(AK93:AK95),1) + AND(COUNT(AK98:AK100),1) + AND(COUNT(AK103:AK105),1) + AND(COUNT(AK108:AK110),1) + AND(COUNT(AK112:AK114),1) + AND(COUNT(AK117:AK119),1) + AND(COUNT(AK122:AK124),1) + AND(COUNT(AK127),1) + AND(COUNT(AK130:AK132),1) + AND(COUNT(AK135:AK136),1) + AND(COUNT(AK138:AK142),1) + AND(COUNT(AK144:AK146),1) + AND(COUNT(AK148:AK150),1) + AND(COUNT(AK152:AK154),1)</f>
        <v/>
      </c>
      <c r="AL174" s="107">
        <f>AND(COUNT(AL3:AL5),1) + AND(COUNT(AL7:AL9),1) + AND(COUNT(AL11:AL13),1) + AND(COUNT(AL15:AL17),1) + AND(COUNT(AL19:AL21),1) + AND(COUNT(AL23:AL24),1) + AND(COUNT(AL27:AL29),1) + AND(COUNT(AL32:AL34),1) + AND(COUNT(AL37:AL39),1) + AND(COUNT(AL41:AL43),1) + AND(COUNT(AL46:AL48),1) + AND(COUNT(AL51:AL54),1) +AND(COUNT(AL57:AL59),1) + AND(COUNT(AL61:AL63),1) + AND(COUNT(AL67:AL69),1) + AND(COUNT(AL73:AL75),1) + AND(COUNT(AL79:AL81),1) + AND(COUNT(AL84:AL86),1) + AND(COUNT(AL89:AL91),1) + AND(COUNT(AL93:AL95),1) + AND(COUNT(AL98:AL100),1) + AND(COUNT(AL103:AL105),1) + AND(COUNT(AL108:AL110),1) + AND(COUNT(AL112:AL114),1) + AND(COUNT(AL117:AL119),1) + AND(COUNT(AL122:AL124),1) + AND(COUNT(AL127),1) + AND(COUNT(AL130:AL132),1) + AND(COUNT(AL135:AL136),1) + AND(COUNT(AL138:AL142),1) + AND(COUNT(AL144:AL146),1) + AND(COUNT(AL148:AL150),1) + AND(COUNT(AL152:AL154),1)</f>
        <v/>
      </c>
      <c r="AM174" s="107">
        <f>AND(COUNT(AM3:AM5),1) + AND(COUNT(AM7:AM9),1) + AND(COUNT(AM11:AM13),1) + AND(COUNT(AM15:AM17),1) + AND(COUNT(AM19:AM21),1) + AND(COUNT(AM23:AM24),1) + AND(COUNT(AM27:AM29),1) + AND(COUNT(AM32:AM34),1) + AND(COUNT(AM37:AM39),1) + AND(COUNT(AM41:AM43),1) + AND(COUNT(AM46:AM48),1) + AND(COUNT(AM51:AM54),1) +AND(COUNT(AM57:AM59),1) + AND(COUNT(AM61:AM63),1) + AND(COUNT(AM67:AM69),1) + AND(COUNT(AM73:AM75),1) + AND(COUNT(AM79:AM81),1) + AND(COUNT(AM84:AM86),1) + AND(COUNT(AM89:AM91),1) + AND(COUNT(AM93:AM95),1) + AND(COUNT(AM98:AM100),1) + AND(COUNT(AM103:AM105),1) + AND(COUNT(AM108:AM110),1) + AND(COUNT(AM112:AM114),1) + AND(COUNT(AM117:AM119),1) + AND(COUNT(AM122:AM124),1) + AND(COUNT(AM127),1) + AND(COUNT(AM130:AM132),1) + AND(COUNT(AM135:AM136),1) + AND(COUNT(AM138:AM142),1) + AND(COUNT(AM144:AM146),1) + AND(COUNT(AM148:AM150),1) + AND(COUNT(AM152:AM154),1)</f>
        <v/>
      </c>
      <c r="AN174" s="107">
        <f>AND(COUNT(AN3:AN5),1) + AND(COUNT(AN7:AN9),1) + AND(COUNT(AN11:AN13),1) + AND(COUNT(AN15:AN17),1) + AND(COUNT(AN19:AN21),1) + AND(COUNT(AN23:AN24),1) + AND(COUNT(AN27:AN29),1) + AND(COUNT(AN32:AN34),1) + AND(COUNT(AN37:AN39),1) + AND(COUNT(AN41:AN43),1) + AND(COUNT(AN46:AN48),1) + AND(COUNT(AN51:AN54),1) +AND(COUNT(AN57:AN59),1) + AND(COUNT(AN61:AN63),1) + AND(COUNT(AN67:AN69),1) + AND(COUNT(AN73:AN75),1) + AND(COUNT(AN79:AN81),1) + AND(COUNT(AN84:AN86),1) + AND(COUNT(AN89:AN91),1) + AND(COUNT(AN93:AN95),1) + AND(COUNT(AN98:AN100),1) + AND(COUNT(AN103:AN105),1) + AND(COUNT(AN108:AN110),1) + AND(COUNT(AN112:AN114),1) + AND(COUNT(AN117:AN119),1) + AND(COUNT(AN122:AN124),1) + AND(COUNT(AN127),1) + AND(COUNT(AN130:AN132),1) + AND(COUNT(AN135:AN136),1) + AND(COUNT(AN138:AN142),1) + AND(COUNT(AN144:AN146),1) + AND(COUNT(AN148:AN150),1) + AND(COUNT(AN152:AN154),1)</f>
        <v/>
      </c>
      <c r="AO174" s="107">
        <f>AND(COUNT(AO3:AO5),1) + AND(COUNT(AO7:AO9),1) + AND(COUNT(AO11:AO13),1) + AND(COUNT(AO15:AO17),1) + AND(COUNT(AO19:AO21),1) + AND(COUNT(AO23:AO24),1) + AND(COUNT(AO27:AO29),1) + AND(COUNT(AO32:AO34),1) + AND(COUNT(AO37:AO39),1) + AND(COUNT(AO41:AO43),1) + AND(COUNT(AO46:AO48),1) + AND(COUNT(AO51:AO54),1) +AND(COUNT(AO57:AO59),1) + AND(COUNT(AO61:AO63),1) + AND(COUNT(AO67:AO69),1) + AND(COUNT(AO73:AO75),1) + AND(COUNT(AO79:AO81),1) + AND(COUNT(AO84:AO86),1) + AND(COUNT(AO89:AO91),1) + AND(COUNT(AO93:AO95),1) + AND(COUNT(AO98:AO100),1) + AND(COUNT(AO103:AO105),1) + AND(COUNT(AO108:AO110),1) + AND(COUNT(AO112:AO114),1) + AND(COUNT(AO117:AO119),1) + AND(COUNT(AO122:AO124),1) + AND(COUNT(AO127),1) + AND(COUNT(AO130:AO132),1) + AND(COUNT(AO135:AO136),1) + AND(COUNT(AO138:AO142),1) + AND(COUNT(AO144:AO146),1) + AND(COUNT(AO148:AO150),1) + AND(COUNT(AO152:AO154),1)</f>
        <v/>
      </c>
      <c r="AP174" s="107">
        <f>AND(COUNT(AP3:AP5),1) + AND(COUNT(AP7:AP9),1) + AND(COUNT(AP11:AP13),1) + AND(COUNT(AP15:AP17),1) + AND(COUNT(AP19:AP21),1) + AND(COUNT(AP23:AP24),1) + AND(COUNT(AP27:AP29),1) + AND(COUNT(AP32:AP34),1) + AND(COUNT(AP37:AP39),1) + AND(COUNT(AP41:AP43),1) + AND(COUNT(AP46:AP48),1) + AND(COUNT(AP51:AP54),1) +AND(COUNT(AP57:AP59),1) + AND(COUNT(AP61:AP63),1) + AND(COUNT(AP67:AP69),1) + AND(COUNT(AP73:AP75),1) + AND(COUNT(AP79:AP81),1) + AND(COUNT(AP84:AP86),1) + AND(COUNT(AP89:AP91),1) + AND(COUNT(AP93:AP95),1) + AND(COUNT(AP98:AP100),1) + AND(COUNT(AP103:AP105),1) + AND(COUNT(AP108:AP110),1) + AND(COUNT(AP112:AP114),1) + AND(COUNT(AP117:AP119),1) + AND(COUNT(AP122:AP124),1) + AND(COUNT(AP127),1) + AND(COUNT(AP130:AP132),1) + AND(COUNT(AP135:AP136),1) + AND(COUNT(AP138:AP142),1) + AND(COUNT(AP144:AP146),1) + AND(COUNT(AP148:AP150),1) + AND(COUNT(AP152:AP154),1)</f>
        <v/>
      </c>
      <c r="AQ174" s="107">
        <f>AND(COUNT(AQ3:AQ5),1) + AND(COUNT(AQ7:AQ9),1) + AND(COUNT(AQ11:AQ13),1) + AND(COUNT(AQ15:AQ17),1) + AND(COUNT(AQ19:AQ21),1) + AND(COUNT(AQ23:AQ24),1) + AND(COUNT(AQ27:AQ29),1) + AND(COUNT(AQ32:AQ34),1) + AND(COUNT(AQ37:AQ39),1) + AND(COUNT(AQ41:AQ43),1) + AND(COUNT(AQ46:AQ48),1) + AND(COUNT(AQ51:AQ54),1) +AND(COUNT(AQ57:AQ59),1) + AND(COUNT(AQ61:AQ63),1) + AND(COUNT(AQ67:AQ69),1) + AND(COUNT(AQ73:AQ75),1) + AND(COUNT(AQ79:AQ81),1) + AND(COUNT(AQ84:AQ86),1) + AND(COUNT(AQ89:AQ91),1) + AND(COUNT(AQ93:AQ95),1) + AND(COUNT(AQ98:AQ100),1) + AND(COUNT(AQ103:AQ105),1) + AND(COUNT(AQ108:AQ110),1) + AND(COUNT(AQ112:AQ114),1) + AND(COUNT(AQ117:AQ119),1) + AND(COUNT(AQ122:AQ124),1) + AND(COUNT(AQ127),1) + AND(COUNT(AQ130:AQ132),1) + AND(COUNT(AQ135:AQ136),1) + AND(COUNT(AQ138:AQ142),1) + AND(COUNT(AQ144:AQ146),1) + AND(COUNT(AQ148:AQ150),1) + AND(COUNT(AQ152:AQ154),1)</f>
        <v/>
      </c>
      <c r="AR174" s="107">
        <f>AND(COUNT(AR3:AR5),1) + AND(COUNT(AR7:AR9),1) + AND(COUNT(AR11:AR13),1) + AND(COUNT(AR15:AR17),1) + AND(COUNT(AR19:AR21),1) + AND(COUNT(AR23:AR24),1) + AND(COUNT(AR27:AR29),1) + AND(COUNT(AR32:AR34),1) + AND(COUNT(AR37:AR39),1) + AND(COUNT(AR41:AR43),1) + AND(COUNT(AR46:AR48),1) + AND(COUNT(AR51:AR54),1) +AND(COUNT(AR57:AR59),1) + AND(COUNT(AR61:AR63),1) + AND(COUNT(AR67:AR69),1) + AND(COUNT(AR73:AR75),1) + AND(COUNT(AR79:AR81),1) + AND(COUNT(AR84:AR86),1) + AND(COUNT(AR89:AR91),1) + AND(COUNT(AR93:AR95),1) + AND(COUNT(AR98:AR100),1) + AND(COUNT(AR103:AR105),1) + AND(COUNT(AR108:AR110),1) + AND(COUNT(AR112:AR114),1) + AND(COUNT(AR117:AR119),1) + AND(COUNT(AR122:AR124),1) + AND(COUNT(AR127),1) + AND(COUNT(AR130:AR132),1) + AND(COUNT(AR135:AR136),1) + AND(COUNT(AR138:AR142),1) + AND(COUNT(AR144:AR146),1) + AND(COUNT(AR148:AR150),1) + AND(COUNT(AR152:AR154),1)</f>
        <v/>
      </c>
      <c r="AS174" s="107">
        <f>AND(COUNT(AS3:AS5),1) + AND(COUNT(AS7:AS9),1) + AND(COUNT(AS11:AS13),1) + AND(COUNT(AS15:AS17),1) + AND(COUNT(AS19:AS21),1) + AND(COUNT(AS23:AS24),1) + AND(COUNT(AS27:AS29),1) + AND(COUNT(AS32:AS34),1) + AND(COUNT(AS37:AS39),1) + AND(COUNT(AS41:AS43),1) + AND(COUNT(AS46:AS48),1) + AND(COUNT(AS51:AS54),1) +AND(COUNT(AS57:AS59),1) + AND(COUNT(AS61:AS63),1) + AND(COUNT(AS67:AS69),1) + AND(COUNT(AS73:AS75),1) + AND(COUNT(AS79:AS81),1) + AND(COUNT(AS84:AS86),1) + AND(COUNT(AS89:AS91),1) + AND(COUNT(AS93:AS95),1) + AND(COUNT(AS98:AS100),1) + AND(COUNT(AS103:AS105),1) + AND(COUNT(AS108:AS110),1) + AND(COUNT(AS112:AS114),1) + AND(COUNT(AS117:AS119),1) + AND(COUNT(AS122:AS124),1) + AND(COUNT(AS127),1) + AND(COUNT(AS130:AS132),1) + AND(COUNT(AS135:AS136),1) + AND(COUNT(AS138:AS142),1) + AND(COUNT(AS144:AS146),1) + AND(COUNT(AS148:AS150),1) + AND(COUNT(AS152:AS154),1)</f>
        <v/>
      </c>
      <c r="AT174" s="107">
        <f>AND(COUNT(AT3:AT5),1) + AND(COUNT(AT7:AT9),1) + AND(COUNT(AT11:AT13),1) + AND(COUNT(AT15:AT17),1) + AND(COUNT(AT19:AT21),1) + AND(COUNT(AT23:AT24),1) + AND(COUNT(AT27:AT29),1) + AND(COUNT(AT32:AT34),1) + AND(COUNT(AT37:AT39),1) + AND(COUNT(AT41:AT43),1) + AND(COUNT(AT46:AT48),1) + AND(COUNT(AT51:AT54),1) +AND(COUNT(AT57:AT59),1) + AND(COUNT(AT61:AT63),1) + AND(COUNT(AT67:AT69),1) + AND(COUNT(AT73:AT75),1) + AND(COUNT(AT79:AT81),1) + AND(COUNT(AT84:AT86),1) + AND(COUNT(AT89:AT91),1) + AND(COUNT(AT93:AT95),1) + AND(COUNT(AT98:AT100),1) + AND(COUNT(AT103:AT105),1) + AND(COUNT(AT108:AT110),1) + AND(COUNT(AT112:AT114),1) + AND(COUNT(AT117:AT119),1) + AND(COUNT(AT122:AT124),1) + AND(COUNT(AT127),1) + AND(COUNT(AT130:AT132),1) + AND(COUNT(AT135:AT136),1) + AND(COUNT(AT138:AT142),1) + AND(COUNT(AT144:AT146),1) + AND(COUNT(AT148:AT150),1) + AND(COUNT(AT152:AT154),1)</f>
        <v/>
      </c>
      <c r="AU174" s="107">
        <f>AND(COUNT(AU3:AU5),1) + AND(COUNT(AU7:AU9),1) + AND(COUNT(AU11:AU13),1) + AND(COUNT(AU15:AU17),1) + AND(COUNT(AU19:AU21),1) + AND(COUNT(AU23:AU24),1) + AND(COUNT(AU27:AU29),1) + AND(COUNT(AU32:AU34),1) + AND(COUNT(AU37:AU39),1) + AND(COUNT(AU41:AU43),1) + AND(COUNT(AU46:AU48),1) + AND(COUNT(AU51:AU54),1) +AND(COUNT(AU57:AU59),1) + AND(COUNT(AU61:AU63),1) + AND(COUNT(AU67:AU69),1) + AND(COUNT(AU73:AU75),1) + AND(COUNT(AU79:AU81),1) + AND(COUNT(AU84:AU86),1) + AND(COUNT(AU89:AU91),1) + AND(COUNT(AU93:AU95),1) + AND(COUNT(AU98:AU100),1) + AND(COUNT(AU103:AU105),1) + AND(COUNT(AU108:AU110),1) + AND(COUNT(AU112:AU114),1) + AND(COUNT(AU117:AU119),1) + AND(COUNT(AU122:AU124),1) + AND(COUNT(AU127),1) + AND(COUNT(AU130:AU132),1) + AND(COUNT(AU135:AU136),1) + AND(COUNT(AU138:AU142),1) + AND(COUNT(AU144:AU146),1) + AND(COUNT(AU148:AU150),1) + AND(COUNT(AU152:AU154),1)</f>
        <v/>
      </c>
    </row>
    <row r="175">
      <c r="B175" s="95">
        <f>IFERROR(ROUND(AVERAGE(C175:AU175),2),"")</f>
        <v/>
      </c>
      <c r="AP175" s="105" t="n"/>
      <c r="AQ175" s="105" t="n"/>
      <c r="AX175" s="104" t="n"/>
    </row>
    <row r="176">
      <c r="A176" s="107" t="inlineStr">
        <is>
          <t>ile filmow objerzal</t>
        </is>
      </c>
      <c r="B176" s="95" t="n"/>
      <c r="C176" s="107">
        <f>COUNT(C3:C154)</f>
        <v/>
      </c>
      <c r="D176" s="107">
        <f>COUNT(D3:D154)</f>
        <v/>
      </c>
      <c r="E176" s="107">
        <f>COUNT(E3:E154)</f>
        <v/>
      </c>
      <c r="F176" s="107">
        <f>COUNT(F3:F154)</f>
        <v/>
      </c>
      <c r="G176" s="107">
        <f>COUNT(G3:G154)</f>
        <v/>
      </c>
      <c r="H176" s="107">
        <f>COUNT(H3:H154)</f>
        <v/>
      </c>
      <c r="I176" s="107">
        <f>COUNT(I3:I154)</f>
        <v/>
      </c>
      <c r="J176" s="107">
        <f>COUNT(J3:J154)</f>
        <v/>
      </c>
      <c r="K176" s="107">
        <f>COUNT(K3:K154)</f>
        <v/>
      </c>
      <c r="L176" s="107">
        <f>COUNT(L3:L154)</f>
        <v/>
      </c>
      <c r="M176" s="107">
        <f>COUNT(M3:M154)</f>
        <v/>
      </c>
      <c r="N176" s="107">
        <f>COUNT(N3:N154)</f>
        <v/>
      </c>
      <c r="O176" s="107">
        <f>COUNT(O3:O154)</f>
        <v/>
      </c>
      <c r="P176" s="107">
        <f>COUNT(P3:P154)</f>
        <v/>
      </c>
      <c r="Q176" s="107">
        <f>COUNT(Q3:Q154)</f>
        <v/>
      </c>
      <c r="R176" s="107">
        <f>COUNT(R3:R154)</f>
        <v/>
      </c>
      <c r="S176" s="107">
        <f>COUNT(S3:S154)</f>
        <v/>
      </c>
      <c r="T176" s="107">
        <f>COUNT(T3:T154)</f>
        <v/>
      </c>
      <c r="U176" s="107">
        <f>COUNT(U3:U154)</f>
        <v/>
      </c>
      <c r="V176" s="107">
        <f>COUNT(V3:V154)</f>
        <v/>
      </c>
      <c r="W176" s="107">
        <f>COUNT(W3:W154)</f>
        <v/>
      </c>
      <c r="X176" s="107">
        <f>COUNT(X3:X154)</f>
        <v/>
      </c>
      <c r="Y176" s="107">
        <f>COUNT(Y3:Y154)</f>
        <v/>
      </c>
      <c r="Z176" s="107">
        <f>COUNT(Z3:Z154)</f>
        <v/>
      </c>
      <c r="AA176" s="107">
        <f>COUNT(AA3:AA154)</f>
        <v/>
      </c>
      <c r="AB176" s="107">
        <f>COUNT(AB3:AB154)</f>
        <v/>
      </c>
      <c r="AC176" s="107">
        <f>COUNT(AC3:AC154)</f>
        <v/>
      </c>
      <c r="AD176" s="107">
        <f>COUNT(AD3:AD154)</f>
        <v/>
      </c>
      <c r="AE176" s="107">
        <f>COUNT(AE3:AE154)</f>
        <v/>
      </c>
      <c r="AF176" s="107">
        <f>COUNT(AF3:AF154)</f>
        <v/>
      </c>
      <c r="AG176" s="107">
        <f>COUNT(AG3:AG154)</f>
        <v/>
      </c>
      <c r="AH176" s="107">
        <f>COUNT(AH3:AH154)</f>
        <v/>
      </c>
      <c r="AI176" s="107">
        <f>COUNT(AI3:AI154)</f>
        <v/>
      </c>
      <c r="AJ176" s="107">
        <f>COUNT(AJ3:AJ154)</f>
        <v/>
      </c>
      <c r="AK176" s="107">
        <f>COUNT(AK3:AK154)</f>
        <v/>
      </c>
      <c r="AL176" s="107">
        <f>COUNT(AL3:AL154)</f>
        <v/>
      </c>
      <c r="AM176" s="107">
        <f>COUNT(AM3:AM154)</f>
        <v/>
      </c>
      <c r="AN176" s="107">
        <f>COUNT(AN3:AN154)</f>
        <v/>
      </c>
      <c r="AO176" s="107">
        <f>COUNT(AO3:AO154)</f>
        <v/>
      </c>
      <c r="AP176" s="107">
        <f>COUNT(AP3:AP154)</f>
        <v/>
      </c>
      <c r="AQ176" s="107">
        <f>COUNT(AQ3:AQ154)</f>
        <v/>
      </c>
      <c r="AR176" s="107">
        <f>COUNT(AR3:AR154)</f>
        <v/>
      </c>
      <c r="AS176" s="107">
        <f>COUNT(AS3:AS154)</f>
        <v/>
      </c>
      <c r="AT176" s="107">
        <f>COUNT(AT3:AT154)</f>
        <v/>
      </c>
      <c r="AU176" s="107">
        <f>COUNT(AU3:AU154)</f>
        <v/>
      </c>
      <c r="AX176" s="104" t="n"/>
    </row>
    <row r="177">
      <c r="B177" s="95">
        <f>IFERROR(ROUND(AVERAGE(C177:AU177),2),"")</f>
        <v/>
      </c>
      <c r="AP177" s="105" t="n"/>
      <c r="AQ177" s="105" t="n"/>
      <c r="AX177" s="104" t="n"/>
    </row>
    <row r="178">
      <c r="B178" s="100" t="n"/>
      <c r="AP178" s="105" t="n"/>
      <c r="AQ178" s="105" t="n"/>
      <c r="AX178" s="104" t="n"/>
    </row>
    <row r="179">
      <c r="B179" s="108" t="n"/>
      <c r="AP179" s="105" t="n"/>
      <c r="AQ179" s="105" t="n"/>
      <c r="AX179" s="104" t="n"/>
    </row>
    <row r="180">
      <c r="AP180" s="105" t="n"/>
      <c r="AQ180" s="105" t="n"/>
      <c r="AX180" s="104" t="n"/>
    </row>
    <row r="181">
      <c r="AP181" s="105" t="n"/>
      <c r="AQ181" s="105" t="n"/>
      <c r="AX181" s="104" t="n"/>
    </row>
    <row r="182">
      <c r="AP182" s="105" t="n"/>
      <c r="AQ182" s="105" t="n"/>
      <c r="AX182" s="104" t="n"/>
    </row>
    <row r="183">
      <c r="AP183" s="105" t="n"/>
      <c r="AQ183" s="105" t="n"/>
      <c r="AX183" s="104" t="n"/>
    </row>
    <row r="184">
      <c r="AP184" s="105" t="n"/>
      <c r="AQ184" s="105" t="n"/>
      <c r="AX184" s="104" t="n"/>
    </row>
    <row r="185">
      <c r="AP185" s="105" t="n"/>
      <c r="AQ185" s="105" t="n"/>
      <c r="AX185" s="104" t="n"/>
    </row>
    <row r="186">
      <c r="AP186" s="105" t="n"/>
      <c r="AQ186" s="105" t="n"/>
      <c r="AX186" s="104" t="n"/>
    </row>
    <row r="187">
      <c r="AP187" s="105" t="n"/>
      <c r="AQ187" s="105" t="n"/>
      <c r="AX187" s="104" t="n"/>
    </row>
    <row r="188">
      <c r="AP188" s="105" t="n"/>
      <c r="AQ188" s="105" t="n"/>
      <c r="AX188" s="104" t="n"/>
    </row>
    <row r="189">
      <c r="AP189" s="105" t="n"/>
      <c r="AQ189" s="105" t="n"/>
      <c r="AX189" s="104" t="n"/>
    </row>
    <row r="190">
      <c r="AP190" s="105" t="n"/>
      <c r="AQ190" s="105" t="n"/>
      <c r="AX190" s="104" t="n"/>
    </row>
    <row r="191">
      <c r="AP191" s="105" t="n"/>
      <c r="AQ191" s="105" t="n"/>
      <c r="AX191" s="104" t="n"/>
    </row>
    <row r="192">
      <c r="AP192" s="105" t="n"/>
      <c r="AQ192" s="105" t="n"/>
      <c r="AX192" s="104" t="n"/>
    </row>
    <row r="193">
      <c r="AP193" s="105" t="n"/>
      <c r="AQ193" s="105" t="n"/>
      <c r="AX193" s="104" t="n"/>
    </row>
    <row r="194">
      <c r="AP194" s="105" t="n"/>
      <c r="AQ194" s="105" t="n"/>
      <c r="AX194" s="104" t="n"/>
    </row>
    <row r="195">
      <c r="AP195" s="105" t="n"/>
      <c r="AQ195" s="105" t="n"/>
      <c r="AX195" s="104" t="n"/>
    </row>
    <row r="196">
      <c r="AP196" s="105" t="n"/>
      <c r="AQ196" s="105" t="n"/>
      <c r="AX196" s="104" t="n"/>
    </row>
    <row r="197">
      <c r="AP197" s="105" t="n"/>
      <c r="AQ197" s="105" t="n"/>
      <c r="AX197" s="104" t="n"/>
    </row>
    <row r="198">
      <c r="AP198" s="105" t="n"/>
      <c r="AQ198" s="105" t="n"/>
      <c r="AX198" s="104" t="n"/>
    </row>
    <row r="199">
      <c r="AP199" s="105" t="n"/>
      <c r="AQ199" s="105" t="n"/>
      <c r="AX199" s="104" t="n"/>
    </row>
    <row r="200">
      <c r="AP200" s="105" t="n"/>
      <c r="AQ200" s="105" t="n"/>
      <c r="AX200" s="104" t="n"/>
    </row>
    <row r="201">
      <c r="AP201" s="105" t="n"/>
      <c r="AQ201" s="105" t="n"/>
      <c r="AX201" s="104" t="n"/>
    </row>
    <row r="202">
      <c r="AP202" s="105" t="n"/>
      <c r="AQ202" s="105" t="n"/>
      <c r="AX202" s="104" t="n"/>
    </row>
    <row r="203">
      <c r="AP203" s="105" t="n"/>
      <c r="AQ203" s="105" t="n"/>
      <c r="AX203" s="104" t="n"/>
    </row>
    <row r="204">
      <c r="AP204" s="105" t="n"/>
      <c r="AQ204" s="105" t="n"/>
      <c r="AX204" s="104" t="n"/>
    </row>
    <row r="205">
      <c r="AP205" s="105" t="n"/>
      <c r="AQ205" s="105" t="n"/>
      <c r="AX205" s="104" t="n"/>
    </row>
    <row r="206">
      <c r="AP206" s="105" t="n"/>
      <c r="AQ206" s="105" t="n"/>
      <c r="AX206" s="104" t="n"/>
    </row>
    <row r="207">
      <c r="AP207" s="105" t="n"/>
      <c r="AQ207" s="105" t="n"/>
      <c r="AX207" s="104" t="n"/>
    </row>
    <row r="208">
      <c r="AP208" s="105" t="n"/>
      <c r="AQ208" s="105" t="n"/>
      <c r="AX208" s="104" t="n"/>
    </row>
    <row r="209">
      <c r="AP209" s="105" t="n"/>
      <c r="AQ209" s="105" t="n"/>
      <c r="AX209" s="104" t="n"/>
    </row>
    <row r="210">
      <c r="AP210" s="105" t="n"/>
      <c r="AQ210" s="105" t="n"/>
      <c r="AX210" s="104" t="n"/>
    </row>
    <row r="211">
      <c r="AP211" s="105" t="n"/>
      <c r="AQ211" s="105" t="n"/>
      <c r="AX211" s="104" t="n"/>
    </row>
    <row r="212">
      <c r="AP212" s="105" t="n"/>
      <c r="AQ212" s="105" t="n"/>
      <c r="AX212" s="104" t="n"/>
    </row>
    <row r="213">
      <c r="AP213" s="105" t="n"/>
      <c r="AQ213" s="105" t="n"/>
      <c r="AX213" s="104" t="n"/>
    </row>
    <row r="214">
      <c r="AP214" s="105" t="n"/>
      <c r="AQ214" s="105" t="n"/>
      <c r="AX214" s="104" t="n"/>
    </row>
    <row r="215">
      <c r="AP215" s="105" t="n"/>
      <c r="AQ215" s="105" t="n"/>
      <c r="AX215" s="104" t="n"/>
    </row>
    <row r="216">
      <c r="AP216" s="105" t="n"/>
      <c r="AQ216" s="105" t="n"/>
      <c r="AX216" s="104" t="n"/>
    </row>
    <row r="217">
      <c r="AP217" s="105" t="n"/>
      <c r="AQ217" s="105" t="n"/>
      <c r="AX217" s="104" t="n"/>
    </row>
    <row r="218">
      <c r="AP218" s="105" t="n"/>
      <c r="AQ218" s="105" t="n"/>
      <c r="AX218" s="104" t="n"/>
    </row>
    <row r="219">
      <c r="AP219" s="105" t="n"/>
      <c r="AQ219" s="105" t="n"/>
      <c r="AX219" s="104" t="n"/>
    </row>
    <row r="220">
      <c r="AP220" s="105" t="n"/>
      <c r="AQ220" s="105" t="n"/>
      <c r="AX220" s="104" t="n"/>
    </row>
    <row r="221">
      <c r="AP221" s="105" t="n"/>
      <c r="AQ221" s="105" t="n"/>
      <c r="AX221" s="104" t="n"/>
    </row>
    <row r="222">
      <c r="AP222" s="105" t="n"/>
      <c r="AQ222" s="105" t="n"/>
      <c r="AX222" s="104" t="n"/>
    </row>
    <row r="223">
      <c r="AP223" s="105" t="n"/>
      <c r="AQ223" s="105" t="n"/>
      <c r="AX223" s="104" t="n"/>
    </row>
    <row r="224">
      <c r="AP224" s="105" t="n"/>
      <c r="AQ224" s="105" t="n"/>
      <c r="AX224" s="104" t="n"/>
    </row>
    <row r="225">
      <c r="AP225" s="105" t="n"/>
      <c r="AQ225" s="105" t="n"/>
      <c r="AX225" s="104" t="n"/>
    </row>
    <row r="226">
      <c r="AP226" s="105" t="n"/>
      <c r="AQ226" s="105" t="n"/>
      <c r="AX226" s="104" t="n"/>
    </row>
    <row r="227">
      <c r="AP227" s="105" t="n"/>
      <c r="AQ227" s="105" t="n"/>
      <c r="AX227" s="104" t="n"/>
    </row>
    <row r="228">
      <c r="AP228" s="105" t="n"/>
      <c r="AQ228" s="105" t="n"/>
      <c r="AX228" s="104" t="n"/>
    </row>
    <row r="229">
      <c r="AP229" s="105" t="n"/>
      <c r="AQ229" s="105" t="n"/>
      <c r="AX229" s="104" t="n"/>
    </row>
    <row r="230">
      <c r="AP230" s="105" t="n"/>
      <c r="AQ230" s="105" t="n"/>
      <c r="AX230" s="104" t="n"/>
    </row>
    <row r="231">
      <c r="AP231" s="105" t="n"/>
      <c r="AQ231" s="105" t="n"/>
      <c r="AX231" s="104" t="n"/>
    </row>
    <row r="232">
      <c r="AP232" s="105" t="n"/>
      <c r="AQ232" s="105" t="n"/>
      <c r="AX232" s="104" t="n"/>
    </row>
    <row r="233">
      <c r="AP233" s="105" t="n"/>
      <c r="AQ233" s="105" t="n"/>
      <c r="AX233" s="104" t="n"/>
    </row>
    <row r="234">
      <c r="AP234" s="105" t="n"/>
      <c r="AQ234" s="105" t="n"/>
      <c r="AX234" s="104" t="n"/>
    </row>
    <row r="235">
      <c r="AP235" s="105" t="n"/>
      <c r="AQ235" s="105" t="n"/>
      <c r="AX235" s="104" t="n"/>
    </row>
    <row r="236">
      <c r="AP236" s="105" t="n"/>
      <c r="AQ236" s="105" t="n"/>
      <c r="AX236" s="104" t="n"/>
    </row>
    <row r="237">
      <c r="AP237" s="105" t="n"/>
      <c r="AQ237" s="105" t="n"/>
      <c r="AX237" s="104" t="n"/>
    </row>
    <row r="238">
      <c r="AP238" s="105" t="n"/>
      <c r="AQ238" s="105" t="n"/>
      <c r="AX238" s="104" t="n"/>
    </row>
    <row r="239">
      <c r="AP239" s="105" t="n"/>
      <c r="AQ239" s="105" t="n"/>
      <c r="AX239" s="104" t="n"/>
    </row>
    <row r="240">
      <c r="AP240" s="105" t="n"/>
      <c r="AQ240" s="105" t="n"/>
      <c r="AX240" s="104" t="n"/>
    </row>
    <row r="241">
      <c r="AP241" s="105" t="n"/>
      <c r="AQ241" s="105" t="n"/>
      <c r="AX241" s="104" t="n"/>
    </row>
    <row r="242">
      <c r="AP242" s="105" t="n"/>
      <c r="AQ242" s="105" t="n"/>
      <c r="AX242" s="104" t="n"/>
    </row>
    <row r="243">
      <c r="AP243" s="105" t="n"/>
      <c r="AQ243" s="105" t="n"/>
      <c r="AX243" s="104" t="n"/>
    </row>
    <row r="244">
      <c r="AP244" s="105" t="n"/>
      <c r="AQ244" s="105" t="n"/>
      <c r="AX244" s="104" t="n"/>
    </row>
    <row r="245">
      <c r="AP245" s="105" t="n"/>
      <c r="AQ245" s="105" t="n"/>
      <c r="AX245" s="104" t="n"/>
    </row>
    <row r="246">
      <c r="AP246" s="105" t="n"/>
      <c r="AQ246" s="105" t="n"/>
      <c r="AX246" s="104" t="n"/>
    </row>
    <row r="247">
      <c r="AP247" s="105" t="n"/>
      <c r="AQ247" s="105" t="n"/>
      <c r="AX247" s="104" t="n"/>
    </row>
    <row r="248">
      <c r="AP248" s="105" t="n"/>
      <c r="AQ248" s="105" t="n"/>
      <c r="AX248" s="104" t="n"/>
    </row>
    <row r="249">
      <c r="AP249" s="105" t="n"/>
      <c r="AQ249" s="105" t="n"/>
      <c r="AX249" s="104" t="n"/>
    </row>
    <row r="250">
      <c r="AP250" s="105" t="n"/>
      <c r="AQ250" s="105" t="n"/>
      <c r="AX250" s="104" t="n"/>
    </row>
    <row r="251">
      <c r="AP251" s="105" t="n"/>
      <c r="AQ251" s="105" t="n"/>
      <c r="AX251" s="104" t="n"/>
    </row>
    <row r="252">
      <c r="AP252" s="105" t="n"/>
      <c r="AQ252" s="105" t="n"/>
      <c r="AX252" s="104" t="n"/>
    </row>
    <row r="253">
      <c r="AP253" s="105" t="n"/>
      <c r="AQ253" s="105" t="n"/>
      <c r="AX253" s="104" t="n"/>
    </row>
    <row r="254">
      <c r="AP254" s="105" t="n"/>
      <c r="AQ254" s="105" t="n"/>
      <c r="AX254" s="104" t="n"/>
    </row>
    <row r="255">
      <c r="AP255" s="105" t="n"/>
      <c r="AQ255" s="105" t="n"/>
      <c r="AX255" s="104" t="n"/>
    </row>
    <row r="256">
      <c r="AP256" s="105" t="n"/>
      <c r="AQ256" s="105" t="n"/>
      <c r="AX256" s="104" t="n"/>
    </row>
    <row r="257">
      <c r="AP257" s="105" t="n"/>
      <c r="AQ257" s="105" t="n"/>
      <c r="AX257" s="104" t="n"/>
    </row>
    <row r="258">
      <c r="AP258" s="105" t="n"/>
      <c r="AQ258" s="105" t="n"/>
      <c r="AX258" s="104" t="n"/>
    </row>
    <row r="259">
      <c r="AP259" s="105" t="n"/>
      <c r="AQ259" s="105" t="n"/>
      <c r="AX259" s="104" t="n"/>
    </row>
    <row r="260">
      <c r="AP260" s="105" t="n"/>
      <c r="AQ260" s="105" t="n"/>
      <c r="AX260" s="104" t="n"/>
    </row>
    <row r="261">
      <c r="AP261" s="105" t="n"/>
      <c r="AQ261" s="105" t="n"/>
      <c r="AX261" s="104" t="n"/>
    </row>
    <row r="262">
      <c r="AP262" s="105" t="n"/>
      <c r="AQ262" s="105" t="n"/>
      <c r="AX262" s="104" t="n"/>
    </row>
    <row r="263">
      <c r="AP263" s="105" t="n"/>
      <c r="AQ263" s="105" t="n"/>
      <c r="AX263" s="104" t="n"/>
    </row>
    <row r="264">
      <c r="AP264" s="105" t="n"/>
      <c r="AQ264" s="105" t="n"/>
      <c r="AX264" s="104" t="n"/>
    </row>
    <row r="265">
      <c r="AP265" s="105" t="n"/>
      <c r="AQ265" s="105" t="n"/>
      <c r="AX265" s="104" t="n"/>
    </row>
    <row r="266">
      <c r="AP266" s="105" t="n"/>
      <c r="AQ266" s="105" t="n"/>
      <c r="AX266" s="104" t="n"/>
    </row>
    <row r="267">
      <c r="AP267" s="105" t="n"/>
      <c r="AQ267" s="105" t="n"/>
      <c r="AX267" s="104" t="n"/>
    </row>
    <row r="268">
      <c r="AP268" s="105" t="n"/>
      <c r="AQ268" s="105" t="n"/>
      <c r="AX268" s="104" t="n"/>
    </row>
    <row r="269">
      <c r="AP269" s="105" t="n"/>
      <c r="AQ269" s="105" t="n"/>
      <c r="AX269" s="104" t="n"/>
    </row>
    <row r="270">
      <c r="AP270" s="105" t="n"/>
      <c r="AQ270" s="105" t="n"/>
      <c r="AX270" s="104" t="n"/>
    </row>
    <row r="271">
      <c r="AP271" s="105" t="n"/>
      <c r="AQ271" s="105" t="n"/>
      <c r="AX271" s="104" t="n"/>
    </row>
    <row r="272">
      <c r="AP272" s="105" t="n"/>
      <c r="AQ272" s="105" t="n"/>
      <c r="AX272" s="104" t="n"/>
    </row>
    <row r="273">
      <c r="A273" s="107" t="inlineStr">
        <is>
          <t>ANIME</t>
        </is>
      </c>
      <c r="AP273" s="105" t="n"/>
      <c r="AQ273" s="105" t="n"/>
      <c r="AX273" s="104" t="n"/>
    </row>
    <row r="274">
      <c r="AP274" s="105" t="n"/>
      <c r="AQ274" s="105" t="n"/>
      <c r="AX274" s="104" t="n"/>
    </row>
    <row r="275">
      <c r="A275" s="110" t="inlineStr">
        <is>
          <t>opowieści z ziemiomorza</t>
        </is>
      </c>
      <c r="C275" s="110" t="n">
        <v>2</v>
      </c>
      <c r="D275" s="110" t="n"/>
      <c r="E275" s="110" t="n"/>
      <c r="F275" s="110" t="n"/>
      <c r="G275" s="110" t="n"/>
      <c r="H275" s="110" t="n"/>
      <c r="J275" s="110" t="n"/>
      <c r="K275" s="110" t="n"/>
      <c r="L275" s="110" t="n"/>
      <c r="M275" s="110" t="n"/>
      <c r="O275" s="110" t="n"/>
      <c r="Q275" s="110" t="n">
        <v>4</v>
      </c>
      <c r="S275" s="110" t="n"/>
      <c r="T275" s="110" t="n"/>
      <c r="U275" s="110" t="n"/>
      <c r="V275" s="110" t="n"/>
      <c r="W275" s="110" t="n"/>
      <c r="X275" s="110" t="n"/>
      <c r="Y275" s="110" t="n"/>
      <c r="Z275" s="110" t="n"/>
      <c r="AP275" s="105" t="n"/>
      <c r="AQ275" s="105" t="n"/>
      <c r="AX275" s="104" t="n"/>
    </row>
    <row r="276">
      <c r="A276" s="110" t="inlineStr">
        <is>
          <t>promate</t>
        </is>
      </c>
      <c r="C276" s="110" t="n">
        <v>10</v>
      </c>
      <c r="D276" s="110" t="n">
        <v>9.5</v>
      </c>
      <c r="E276" s="110" t="n"/>
      <c r="F276" s="110" t="n"/>
      <c r="G276" s="110" t="n"/>
      <c r="H276" s="110" t="n"/>
      <c r="J276" s="110" t="n"/>
      <c r="K276" s="110" t="n"/>
      <c r="L276" s="110" t="n"/>
      <c r="M276" s="110" t="n"/>
      <c r="O276" s="110" t="n"/>
      <c r="Q276" s="110" t="n">
        <v>8</v>
      </c>
      <c r="S276" s="110" t="n"/>
      <c r="T276" s="110" t="n"/>
      <c r="U276" s="110" t="n"/>
      <c r="V276" s="110" t="n"/>
      <c r="W276" s="110" t="n"/>
      <c r="X276" s="110" t="n"/>
      <c r="Y276" s="110" t="n"/>
      <c r="Z276" s="110" t="n"/>
      <c r="AP276" s="105" t="n"/>
      <c r="AQ276" s="105" t="n"/>
      <c r="AX276" s="104" t="n"/>
    </row>
    <row r="277">
      <c r="A277" s="110" t="inlineStr">
        <is>
          <t>millenium actress</t>
        </is>
      </c>
      <c r="C277" s="110" t="n">
        <v>6</v>
      </c>
      <c r="D277" s="110" t="n"/>
      <c r="E277" s="110" t="n"/>
      <c r="F277" s="110" t="n"/>
      <c r="G277" s="110" t="n"/>
      <c r="H277" s="110" t="n"/>
      <c r="J277" s="110" t="n"/>
      <c r="K277" s="110" t="n"/>
      <c r="L277" s="110" t="n"/>
      <c r="M277" s="110" t="n"/>
      <c r="O277" s="110" t="n"/>
      <c r="Q277" s="110" t="n">
        <v>7</v>
      </c>
      <c r="S277" s="110" t="n"/>
      <c r="T277" s="110" t="n"/>
      <c r="U277" s="110" t="n"/>
      <c r="V277" s="110" t="n"/>
      <c r="W277" s="110" t="n"/>
      <c r="X277" s="110" t="n"/>
      <c r="Y277" s="110" t="n"/>
      <c r="Z277" s="110" t="n"/>
      <c r="AP277" s="105" t="n"/>
      <c r="AQ277" s="105" t="n"/>
      <c r="AX277" s="104" t="n"/>
    </row>
    <row r="278">
      <c r="A278" s="110" t="n"/>
      <c r="C278" s="110" t="n"/>
      <c r="D278" s="110" t="n"/>
      <c r="E278" s="110" t="n"/>
      <c r="F278" s="110" t="n"/>
      <c r="G278" s="110" t="n"/>
      <c r="H278" s="110" t="n"/>
      <c r="J278" s="110" t="n"/>
      <c r="K278" s="110" t="n"/>
      <c r="L278" s="110" t="n"/>
      <c r="M278" s="110" t="n"/>
      <c r="O278" s="110" t="n"/>
      <c r="Q278" s="110" t="n"/>
      <c r="S278" s="110" t="n"/>
      <c r="T278" s="110" t="n"/>
      <c r="U278" s="110" t="n"/>
      <c r="V278" s="110" t="n"/>
      <c r="W278" s="110" t="n"/>
      <c r="X278" s="110" t="n"/>
      <c r="Y278" s="110" t="n"/>
      <c r="Z278" s="110" t="n"/>
      <c r="AP278" s="105" t="n"/>
      <c r="AQ278" s="105" t="n"/>
      <c r="AX278" s="104" t="n"/>
    </row>
    <row r="279">
      <c r="A279" s="110" t="n"/>
      <c r="C279" s="110" t="n"/>
      <c r="D279" s="110" t="n"/>
      <c r="E279" s="110" t="n"/>
      <c r="F279" s="110" t="n"/>
      <c r="G279" s="110" t="n"/>
      <c r="H279" s="110" t="n"/>
      <c r="J279" s="110" t="n"/>
      <c r="K279" s="110" t="n"/>
      <c r="L279" s="110" t="n"/>
      <c r="M279" s="110" t="n"/>
      <c r="O279" s="110" t="n"/>
      <c r="Q279" s="110" t="n"/>
      <c r="S279" s="110" t="n"/>
      <c r="T279" s="110" t="n"/>
      <c r="U279" s="110" t="n"/>
      <c r="V279" s="110" t="n"/>
      <c r="W279" s="110" t="n"/>
      <c r="X279" s="110" t="n"/>
      <c r="Y279" s="110" t="n"/>
      <c r="Z279" s="110" t="n"/>
      <c r="AP279" s="105" t="n"/>
      <c r="AQ279" s="105" t="n"/>
      <c r="AX279" s="104" t="n"/>
    </row>
    <row r="280">
      <c r="A280" s="110" t="inlineStr">
        <is>
          <t>chce zjeść twoja sledzione</t>
        </is>
      </c>
      <c r="C280" s="110" t="n">
        <v>9</v>
      </c>
      <c r="D280" s="110" t="n">
        <v>9</v>
      </c>
      <c r="E280" s="110" t="n"/>
      <c r="F280" s="110" t="n"/>
      <c r="G280" s="110" t="n">
        <v>8</v>
      </c>
      <c r="H280" s="110" t="n"/>
      <c r="J280" s="110" t="n"/>
      <c r="K280" s="110" t="n"/>
      <c r="L280" s="110" t="n"/>
      <c r="M280" s="110" t="n"/>
      <c r="O280" s="110" t="n"/>
      <c r="Q280" s="110" t="n"/>
      <c r="S280" s="110" t="n"/>
      <c r="T280" s="110" t="n"/>
      <c r="U280" s="110" t="n"/>
      <c r="V280" s="110" t="n"/>
      <c r="W280" s="110" t="n"/>
      <c r="X280" s="110" t="n"/>
      <c r="Y280" s="110" t="n"/>
      <c r="Z280" s="110" t="n"/>
      <c r="AP280" s="105" t="n"/>
      <c r="AQ280" s="105" t="n"/>
      <c r="AX280" s="104" t="n"/>
    </row>
    <row r="281">
      <c r="A281" s="110" t="inlineStr">
        <is>
          <t>futurama 3</t>
        </is>
      </c>
      <c r="C281" s="110" t="n">
        <v>9</v>
      </c>
      <c r="D281" s="110" t="n">
        <v>3</v>
      </c>
      <c r="E281" s="110" t="n"/>
      <c r="F281" s="110" t="n"/>
      <c r="G281" s="110" t="n">
        <v>6.5</v>
      </c>
      <c r="H281" s="110" t="n"/>
      <c r="J281" s="110" t="n"/>
      <c r="K281" s="110" t="n"/>
      <c r="L281" s="110" t="n"/>
      <c r="M281" s="110" t="n"/>
      <c r="O281" s="110" t="n"/>
      <c r="Q281" s="110" t="n"/>
      <c r="S281" s="110" t="n"/>
      <c r="T281" s="110" t="n"/>
      <c r="U281" s="110" t="n"/>
      <c r="V281" s="110" t="n"/>
      <c r="W281" s="110" t="n"/>
      <c r="X281" s="110" t="n"/>
      <c r="Y281" s="110" t="n"/>
      <c r="Z281" s="110" t="n"/>
      <c r="AP281" s="105" t="n"/>
      <c r="AQ281" s="105" t="n"/>
      <c r="AX281" s="104" t="n"/>
    </row>
    <row r="282">
      <c r="A282" s="110" t="inlineStr">
        <is>
          <t xml:space="preserve">wiatr amnezji </t>
        </is>
      </c>
      <c r="C282" s="110" t="n">
        <v>2</v>
      </c>
      <c r="D282" s="110" t="n">
        <v>1</v>
      </c>
      <c r="E282" s="110" t="n"/>
      <c r="F282" s="110" t="n"/>
      <c r="G282" s="110" t="n">
        <v>3</v>
      </c>
      <c r="H282" s="110" t="n"/>
      <c r="J282" s="110" t="n"/>
      <c r="K282" s="110" t="n"/>
      <c r="L282" s="110" t="n"/>
      <c r="M282" s="110" t="n"/>
      <c r="O282" s="110" t="n"/>
      <c r="Q282" s="110" t="n"/>
      <c r="S282" s="110" t="n"/>
      <c r="T282" s="110" t="n"/>
      <c r="U282" s="110" t="n"/>
      <c r="V282" s="110" t="n"/>
      <c r="W282" s="110" t="n"/>
      <c r="X282" s="110" t="n"/>
      <c r="Y282" s="110" t="n"/>
      <c r="Z282" s="110" t="n"/>
      <c r="AP282" s="105" t="n"/>
      <c r="AQ282" s="105" t="n"/>
      <c r="AX282" s="104" t="n"/>
    </row>
    <row r="283">
      <c r="AP283" s="105" t="n"/>
      <c r="AQ283" s="105" t="n"/>
      <c r="AX283" s="104" t="n"/>
    </row>
    <row r="284">
      <c r="AP284" s="105" t="n"/>
      <c r="AQ284" s="105" t="n"/>
      <c r="AX284" s="104" t="n"/>
    </row>
    <row r="285">
      <c r="AP285" s="105" t="n"/>
      <c r="AQ285" s="105" t="n"/>
      <c r="AX285" s="104" t="n"/>
    </row>
    <row r="286">
      <c r="AP286" s="105" t="n"/>
      <c r="AQ286" s="105" t="n"/>
      <c r="AX286" s="104" t="n"/>
    </row>
    <row r="287">
      <c r="AP287" s="105" t="n"/>
      <c r="AQ287" s="105" t="n"/>
      <c r="AX287" s="104" t="n"/>
    </row>
    <row r="288">
      <c r="AP288" s="105" t="n"/>
      <c r="AQ288" s="105" t="n"/>
      <c r="AX288" s="104" t="n"/>
    </row>
    <row r="289">
      <c r="AP289" s="105" t="n"/>
      <c r="AQ289" s="105" t="n"/>
      <c r="AX289" s="104" t="n"/>
    </row>
    <row r="290">
      <c r="AP290" s="105" t="n"/>
      <c r="AQ290" s="105" t="n"/>
      <c r="AX290" s="104" t="n"/>
    </row>
    <row r="291">
      <c r="AP291" s="105" t="n"/>
      <c r="AQ291" s="105" t="n"/>
      <c r="AX291" s="104" t="n"/>
    </row>
    <row r="292">
      <c r="AP292" s="105" t="n"/>
      <c r="AQ292" s="105" t="n"/>
      <c r="AX292" s="104" t="n"/>
    </row>
    <row r="293">
      <c r="AP293" s="105" t="n"/>
      <c r="AQ293" s="105" t="n"/>
      <c r="AX293" s="104" t="n"/>
    </row>
    <row r="294">
      <c r="AP294" s="105" t="n"/>
      <c r="AQ294" s="105" t="n"/>
      <c r="AX294" s="104" t="n"/>
    </row>
    <row r="295">
      <c r="AP295" s="105" t="n"/>
      <c r="AQ295" s="105" t="n"/>
      <c r="AX295" s="104" t="n"/>
    </row>
    <row r="296">
      <c r="AP296" s="105" t="n"/>
      <c r="AQ296" s="105" t="n"/>
      <c r="AX296" s="104" t="n"/>
    </row>
    <row r="297">
      <c r="AP297" s="105" t="n"/>
      <c r="AQ297" s="105" t="n"/>
      <c r="AX297" s="104" t="n"/>
    </row>
    <row r="298">
      <c r="AP298" s="105" t="n"/>
      <c r="AQ298" s="105" t="n"/>
      <c r="AX298" s="104" t="n"/>
    </row>
    <row r="299">
      <c r="AP299" s="105" t="n"/>
      <c r="AQ299" s="105" t="n"/>
      <c r="AX299" s="104" t="n"/>
    </row>
    <row r="300">
      <c r="AP300" s="105" t="n"/>
      <c r="AQ300" s="105" t="n"/>
      <c r="AX300" s="104" t="n"/>
    </row>
    <row r="301">
      <c r="AP301" s="105" t="n"/>
      <c r="AQ301" s="105" t="n"/>
      <c r="AX301" s="104" t="n"/>
    </row>
    <row r="302">
      <c r="AP302" s="105" t="n"/>
      <c r="AQ302" s="105" t="n"/>
      <c r="AX302" s="104" t="n"/>
    </row>
    <row r="303">
      <c r="AP303" s="105" t="n"/>
      <c r="AQ303" s="105" t="n"/>
      <c r="AX303" s="104" t="n"/>
    </row>
    <row r="304">
      <c r="AP304" s="105" t="n"/>
      <c r="AQ304" s="105" t="n"/>
      <c r="AX304" s="104" t="n"/>
    </row>
    <row r="305">
      <c r="AP305" s="105" t="n"/>
      <c r="AQ305" s="105" t="n"/>
      <c r="AX305" s="104" t="n"/>
    </row>
    <row r="306">
      <c r="AP306" s="105" t="n"/>
      <c r="AQ306" s="105" t="n"/>
      <c r="AX306" s="104" t="n"/>
    </row>
    <row r="307">
      <c r="AP307" s="105" t="n"/>
      <c r="AQ307" s="105" t="n"/>
      <c r="AX307" s="104" t="n"/>
    </row>
    <row r="308">
      <c r="AP308" s="105" t="n"/>
      <c r="AQ308" s="105" t="n"/>
      <c r="AX308" s="104" t="n"/>
    </row>
    <row r="309">
      <c r="AP309" s="105" t="n"/>
      <c r="AQ309" s="105" t="n"/>
      <c r="AX309" s="104" t="n"/>
    </row>
    <row r="310">
      <c r="AP310" s="105" t="n"/>
      <c r="AQ310" s="105" t="n"/>
      <c r="AX310" s="104" t="n"/>
    </row>
    <row r="311">
      <c r="AP311" s="105" t="n"/>
      <c r="AQ311" s="105" t="n"/>
      <c r="AX311" s="104" t="n"/>
    </row>
    <row r="312">
      <c r="AP312" s="105" t="n"/>
      <c r="AQ312" s="105" t="n"/>
      <c r="AX312" s="104" t="n"/>
    </row>
    <row r="313">
      <c r="AP313" s="105" t="n"/>
      <c r="AQ313" s="105" t="n"/>
      <c r="AX313" s="104" t="n"/>
    </row>
    <row r="314">
      <c r="AP314" s="105" t="n"/>
      <c r="AQ314" s="105" t="n"/>
      <c r="AX314" s="104" t="n"/>
    </row>
    <row r="315">
      <c r="AP315" s="105" t="n"/>
      <c r="AQ315" s="105" t="n"/>
      <c r="AX315" s="104" t="n"/>
    </row>
    <row r="316">
      <c r="AP316" s="105" t="n"/>
      <c r="AQ316" s="105" t="n"/>
      <c r="AX316" s="104" t="n"/>
    </row>
    <row r="317">
      <c r="AP317" s="105" t="n"/>
      <c r="AQ317" s="105" t="n"/>
      <c r="AX317" s="104" t="n"/>
    </row>
    <row r="318">
      <c r="AP318" s="105" t="n"/>
      <c r="AQ318" s="105" t="n"/>
      <c r="AX318" s="104" t="n"/>
    </row>
    <row r="319">
      <c r="AP319" s="105" t="n"/>
      <c r="AQ319" s="105" t="n"/>
      <c r="AX319" s="104" t="n"/>
    </row>
    <row r="320">
      <c r="AP320" s="105" t="n"/>
      <c r="AQ320" s="105" t="n"/>
      <c r="AX320" s="104" t="n"/>
    </row>
    <row r="321">
      <c r="AP321" s="105" t="n"/>
      <c r="AQ321" s="105" t="n"/>
      <c r="AX321" s="104" t="n"/>
    </row>
    <row r="322">
      <c r="AP322" s="105" t="n"/>
      <c r="AQ322" s="105" t="n"/>
      <c r="AX322" s="104" t="n"/>
    </row>
    <row r="323">
      <c r="AP323" s="105" t="n"/>
      <c r="AQ323" s="105" t="n"/>
      <c r="AX323" s="104" t="n"/>
    </row>
    <row r="324">
      <c r="AP324" s="105" t="n"/>
      <c r="AQ324" s="105" t="n"/>
      <c r="AX324" s="104" t="n"/>
    </row>
    <row r="325">
      <c r="AP325" s="105" t="n"/>
      <c r="AQ325" s="105" t="n"/>
      <c r="AX325" s="104" t="n"/>
    </row>
    <row r="326">
      <c r="AP326" s="105" t="n"/>
      <c r="AQ326" s="105" t="n"/>
      <c r="AX326" s="104" t="n"/>
    </row>
    <row r="327">
      <c r="AP327" s="105" t="n"/>
      <c r="AQ327" s="105" t="n"/>
      <c r="AX327" s="104" t="n"/>
    </row>
    <row r="328">
      <c r="AP328" s="105" t="n"/>
      <c r="AQ328" s="105" t="n"/>
      <c r="AX328" s="104" t="n"/>
    </row>
    <row r="329">
      <c r="AP329" s="105" t="n"/>
      <c r="AQ329" s="105" t="n"/>
      <c r="AX329" s="104" t="n"/>
    </row>
    <row r="330">
      <c r="AP330" s="105" t="n"/>
      <c r="AQ330" s="105" t="n"/>
      <c r="AX330" s="104" t="n"/>
    </row>
    <row r="331">
      <c r="AP331" s="105" t="n"/>
      <c r="AQ331" s="105" t="n"/>
      <c r="AX331" s="104" t="n"/>
    </row>
    <row r="332">
      <c r="AP332" s="105" t="n"/>
      <c r="AQ332" s="105" t="n"/>
      <c r="AX332" s="104" t="n"/>
    </row>
    <row r="333">
      <c r="AP333" s="105" t="n"/>
      <c r="AQ333" s="105" t="n"/>
      <c r="AX333" s="104" t="n"/>
    </row>
    <row r="334">
      <c r="AP334" s="105" t="n"/>
      <c r="AQ334" s="105" t="n"/>
      <c r="AX334" s="104" t="n"/>
    </row>
    <row r="335">
      <c r="AP335" s="105" t="n"/>
      <c r="AQ335" s="105" t="n"/>
      <c r="AX335" s="104" t="n"/>
    </row>
    <row r="336">
      <c r="AP336" s="105" t="n"/>
      <c r="AQ336" s="105" t="n"/>
      <c r="AX336" s="104" t="n"/>
    </row>
    <row r="337">
      <c r="AP337" s="105" t="n"/>
      <c r="AQ337" s="105" t="n"/>
      <c r="AX337" s="104" t="n"/>
    </row>
    <row r="338">
      <c r="AP338" s="105" t="n"/>
      <c r="AQ338" s="105" t="n"/>
      <c r="AX338" s="104" t="n"/>
    </row>
    <row r="339">
      <c r="AP339" s="105" t="n"/>
      <c r="AQ339" s="105" t="n"/>
      <c r="AX339" s="104" t="n"/>
    </row>
    <row r="340">
      <c r="AP340" s="105" t="n"/>
      <c r="AQ340" s="105" t="n"/>
      <c r="AX340" s="104" t="n"/>
    </row>
    <row r="341">
      <c r="AP341" s="105" t="n"/>
      <c r="AQ341" s="105" t="n"/>
      <c r="AX341" s="104" t="n"/>
    </row>
    <row r="342">
      <c r="AP342" s="105" t="n"/>
      <c r="AQ342" s="105" t="n"/>
      <c r="AX342" s="104" t="n"/>
    </row>
    <row r="343">
      <c r="AP343" s="105" t="n"/>
      <c r="AQ343" s="105" t="n"/>
      <c r="AX343" s="104" t="n"/>
    </row>
    <row r="344">
      <c r="AP344" s="105" t="n"/>
      <c r="AQ344" s="105" t="n"/>
      <c r="AX344" s="104" t="n"/>
    </row>
    <row r="345">
      <c r="AP345" s="105" t="n"/>
      <c r="AQ345" s="105" t="n"/>
      <c r="AX345" s="104" t="n"/>
    </row>
    <row r="346">
      <c r="AP346" s="105" t="n"/>
      <c r="AQ346" s="105" t="n"/>
      <c r="AX346" s="104" t="n"/>
    </row>
    <row r="347">
      <c r="AP347" s="105" t="n"/>
      <c r="AQ347" s="105" t="n"/>
      <c r="AX347" s="104" t="n"/>
    </row>
    <row r="348">
      <c r="AP348" s="105" t="n"/>
      <c r="AQ348" s="105" t="n"/>
      <c r="AX348" s="104" t="n"/>
    </row>
    <row r="349">
      <c r="AP349" s="105" t="n"/>
      <c r="AQ349" s="105" t="n"/>
      <c r="AX349" s="104" t="n"/>
    </row>
    <row r="350">
      <c r="AP350" s="105" t="n"/>
      <c r="AQ350" s="105" t="n"/>
      <c r="AX350" s="104" t="n"/>
    </row>
    <row r="351">
      <c r="AP351" s="105" t="n"/>
      <c r="AQ351" s="105" t="n"/>
      <c r="AX351" s="104" t="n"/>
    </row>
    <row r="352">
      <c r="AP352" s="105" t="n"/>
      <c r="AQ352" s="105" t="n"/>
      <c r="AX352" s="104" t="n"/>
    </row>
    <row r="353">
      <c r="AP353" s="105" t="n"/>
      <c r="AQ353" s="105" t="n"/>
      <c r="AX353" s="104" t="n"/>
    </row>
    <row r="354">
      <c r="AP354" s="105" t="n"/>
      <c r="AQ354" s="105" t="n"/>
      <c r="AX354" s="104" t="n"/>
    </row>
    <row r="355">
      <c r="AP355" s="105" t="n"/>
      <c r="AQ355" s="105" t="n"/>
      <c r="AX355" s="104" t="n"/>
    </row>
    <row r="356">
      <c r="AP356" s="105" t="n"/>
      <c r="AQ356" s="105" t="n"/>
      <c r="AX356" s="104" t="n"/>
    </row>
    <row r="357">
      <c r="AP357" s="105" t="n"/>
      <c r="AQ357" s="105" t="n"/>
      <c r="AX357" s="104" t="n"/>
    </row>
    <row r="358">
      <c r="AP358" s="105" t="n"/>
      <c r="AQ358" s="105" t="n"/>
      <c r="AX358" s="104" t="n"/>
    </row>
    <row r="359">
      <c r="AP359" s="105" t="n"/>
      <c r="AQ359" s="105" t="n"/>
      <c r="AX359" s="104" t="n"/>
    </row>
    <row r="360">
      <c r="AP360" s="105" t="n"/>
      <c r="AQ360" s="105" t="n"/>
      <c r="AX360" s="104" t="n"/>
    </row>
    <row r="361">
      <c r="AP361" s="105" t="n"/>
      <c r="AQ361" s="105" t="n"/>
      <c r="AX361" s="104" t="n"/>
    </row>
    <row r="362">
      <c r="AP362" s="105" t="n"/>
      <c r="AQ362" s="105" t="n"/>
      <c r="AX362" s="104" t="n"/>
    </row>
    <row r="363">
      <c r="AP363" s="105" t="n"/>
      <c r="AQ363" s="105" t="n"/>
      <c r="AX363" s="104" t="n"/>
    </row>
    <row r="364">
      <c r="AP364" s="105" t="n"/>
      <c r="AQ364" s="105" t="n"/>
      <c r="AX364" s="104" t="n"/>
    </row>
    <row r="365">
      <c r="AP365" s="105" t="n"/>
      <c r="AQ365" s="105" t="n"/>
      <c r="AX365" s="104" t="n"/>
    </row>
    <row r="366">
      <c r="AP366" s="105" t="n"/>
      <c r="AQ366" s="105" t="n"/>
      <c r="AX366" s="104" t="n"/>
    </row>
    <row r="367">
      <c r="AP367" s="105" t="n"/>
      <c r="AQ367" s="105" t="n"/>
      <c r="AX367" s="104" t="n"/>
    </row>
    <row r="368">
      <c r="AP368" s="105" t="n"/>
      <c r="AQ368" s="105" t="n"/>
      <c r="AX368" s="104" t="n"/>
    </row>
    <row r="369">
      <c r="AP369" s="105" t="n"/>
      <c r="AQ369" s="105" t="n"/>
      <c r="AX369" s="104" t="n"/>
    </row>
    <row r="370">
      <c r="AP370" s="105" t="n"/>
      <c r="AQ370" s="105" t="n"/>
      <c r="AX370" s="104" t="n"/>
    </row>
    <row r="371">
      <c r="AP371" s="105" t="n"/>
      <c r="AQ371" s="105" t="n"/>
      <c r="AX371" s="104" t="n"/>
    </row>
    <row r="372">
      <c r="AP372" s="105" t="n"/>
      <c r="AQ372" s="105" t="n"/>
      <c r="AX372" s="104" t="n"/>
    </row>
    <row r="373">
      <c r="AP373" s="105" t="n"/>
      <c r="AQ373" s="105" t="n"/>
      <c r="AX373" s="104" t="n"/>
    </row>
    <row r="374">
      <c r="AP374" s="105" t="n"/>
      <c r="AQ374" s="105" t="n"/>
      <c r="AX374" s="104" t="n"/>
    </row>
    <row r="375">
      <c r="AP375" s="105" t="n"/>
      <c r="AQ375" s="105" t="n"/>
      <c r="AX375" s="104" t="n"/>
    </row>
    <row r="376">
      <c r="AP376" s="105" t="n"/>
      <c r="AQ376" s="105" t="n"/>
      <c r="AX376" s="104" t="n"/>
    </row>
    <row r="377">
      <c r="AP377" s="105" t="n"/>
      <c r="AQ377" s="105" t="n"/>
      <c r="AX377" s="104" t="n"/>
    </row>
    <row r="378">
      <c r="AP378" s="105" t="n"/>
      <c r="AQ378" s="105" t="n"/>
      <c r="AX378" s="104" t="n"/>
    </row>
    <row r="379">
      <c r="AP379" s="105" t="n"/>
      <c r="AQ379" s="105" t="n"/>
      <c r="AX379" s="104" t="n"/>
    </row>
    <row r="380">
      <c r="AP380" s="105" t="n"/>
      <c r="AQ380" s="105" t="n"/>
      <c r="AX380" s="104" t="n"/>
    </row>
    <row r="381">
      <c r="AP381" s="105" t="n"/>
      <c r="AQ381" s="105" t="n"/>
      <c r="AX381" s="104" t="n"/>
    </row>
    <row r="382">
      <c r="AP382" s="105" t="n"/>
      <c r="AQ382" s="105" t="n"/>
      <c r="AX382" s="104" t="n"/>
    </row>
    <row r="383">
      <c r="AP383" s="105" t="n"/>
      <c r="AQ383" s="105" t="n"/>
      <c r="AX383" s="104" t="n"/>
    </row>
    <row r="384">
      <c r="AP384" s="105" t="n"/>
      <c r="AQ384" s="105" t="n"/>
      <c r="AX384" s="104" t="n"/>
    </row>
    <row r="385">
      <c r="AP385" s="105" t="n"/>
      <c r="AQ385" s="105" t="n"/>
      <c r="AX385" s="104" t="n"/>
    </row>
    <row r="386">
      <c r="AP386" s="105" t="n"/>
      <c r="AQ386" s="105" t="n"/>
      <c r="AX386" s="104" t="n"/>
    </row>
    <row r="387">
      <c r="AP387" s="105" t="n"/>
      <c r="AQ387" s="105" t="n"/>
      <c r="AX387" s="104" t="n"/>
    </row>
    <row r="388">
      <c r="AP388" s="105" t="n"/>
      <c r="AQ388" s="105" t="n"/>
      <c r="AX388" s="104" t="n"/>
    </row>
    <row r="389">
      <c r="AP389" s="105" t="n"/>
      <c r="AQ389" s="105" t="n"/>
      <c r="AX389" s="104" t="n"/>
    </row>
    <row r="390">
      <c r="AP390" s="105" t="n"/>
      <c r="AQ390" s="105" t="n"/>
      <c r="AX390" s="104" t="n"/>
    </row>
    <row r="391">
      <c r="AP391" s="105" t="n"/>
      <c r="AQ391" s="105" t="n"/>
      <c r="AX391" s="104" t="n"/>
    </row>
    <row r="392">
      <c r="AP392" s="105" t="n"/>
      <c r="AQ392" s="105" t="n"/>
      <c r="AX392" s="104" t="n"/>
    </row>
    <row r="393">
      <c r="AP393" s="105" t="n"/>
      <c r="AQ393" s="105" t="n"/>
      <c r="AX393" s="104" t="n"/>
    </row>
    <row r="394">
      <c r="AP394" s="105" t="n"/>
      <c r="AQ394" s="105" t="n"/>
      <c r="AX394" s="104" t="n"/>
    </row>
    <row r="395">
      <c r="AP395" s="105" t="n"/>
      <c r="AQ395" s="105" t="n"/>
      <c r="AX395" s="104" t="n"/>
    </row>
    <row r="396">
      <c r="AP396" s="105" t="n"/>
      <c r="AQ396" s="105" t="n"/>
      <c r="AX396" s="104" t="n"/>
    </row>
    <row r="397">
      <c r="AP397" s="105" t="n"/>
      <c r="AQ397" s="105" t="n"/>
      <c r="AX397" s="104" t="n"/>
    </row>
    <row r="398">
      <c r="AP398" s="105" t="n"/>
      <c r="AQ398" s="105" t="n"/>
      <c r="AX398" s="104" t="n"/>
    </row>
    <row r="399">
      <c r="AP399" s="105" t="n"/>
      <c r="AQ399" s="105" t="n"/>
      <c r="AX399" s="104" t="n"/>
    </row>
    <row r="400">
      <c r="AP400" s="105" t="n"/>
      <c r="AQ400" s="105" t="n"/>
      <c r="AX400" s="104" t="n"/>
    </row>
    <row r="401">
      <c r="AP401" s="105" t="n"/>
      <c r="AQ401" s="105" t="n"/>
      <c r="AX401" s="104" t="n"/>
    </row>
    <row r="402">
      <c r="AP402" s="105" t="n"/>
      <c r="AQ402" s="105" t="n"/>
      <c r="AX402" s="104" t="n"/>
    </row>
    <row r="403">
      <c r="AP403" s="105" t="n"/>
      <c r="AQ403" s="105" t="n"/>
      <c r="AX403" s="104" t="n"/>
    </row>
    <row r="404">
      <c r="AP404" s="105" t="n"/>
      <c r="AQ404" s="105" t="n"/>
      <c r="AX404" s="104" t="n"/>
    </row>
    <row r="405">
      <c r="AP405" s="105" t="n"/>
      <c r="AQ405" s="105" t="n"/>
      <c r="AX405" s="104" t="n"/>
    </row>
    <row r="406">
      <c r="AP406" s="105" t="n"/>
      <c r="AQ406" s="105" t="n"/>
      <c r="AX406" s="104" t="n"/>
    </row>
    <row r="407">
      <c r="AP407" s="105" t="n"/>
      <c r="AQ407" s="105" t="n"/>
      <c r="AX407" s="104" t="n"/>
    </row>
    <row r="408">
      <c r="AP408" s="105" t="n"/>
      <c r="AQ408" s="105" t="n"/>
      <c r="AX408" s="104" t="n"/>
    </row>
    <row r="409">
      <c r="AP409" s="105" t="n"/>
      <c r="AQ409" s="105" t="n"/>
      <c r="AX409" s="104" t="n"/>
    </row>
    <row r="410">
      <c r="AP410" s="105" t="n"/>
      <c r="AQ410" s="105" t="n"/>
      <c r="AX410" s="104" t="n"/>
    </row>
    <row r="411">
      <c r="AP411" s="105" t="n"/>
      <c r="AQ411" s="105" t="n"/>
      <c r="AX411" s="104" t="n"/>
    </row>
    <row r="412">
      <c r="AP412" s="105" t="n"/>
      <c r="AQ412" s="105" t="n"/>
      <c r="AX412" s="104" t="n"/>
    </row>
    <row r="413">
      <c r="AP413" s="105" t="n"/>
      <c r="AQ413" s="105" t="n"/>
      <c r="AX413" s="104" t="n"/>
    </row>
    <row r="414">
      <c r="AP414" s="105" t="n"/>
      <c r="AQ414" s="105" t="n"/>
      <c r="AX414" s="104" t="n"/>
    </row>
    <row r="415">
      <c r="AP415" s="105" t="n"/>
      <c r="AQ415" s="105" t="n"/>
      <c r="AX415" s="104" t="n"/>
    </row>
    <row r="416">
      <c r="AP416" s="105" t="n"/>
      <c r="AQ416" s="105" t="n"/>
      <c r="AX416" s="104" t="n"/>
    </row>
    <row r="417">
      <c r="AP417" s="105" t="n"/>
      <c r="AQ417" s="105" t="n"/>
      <c r="AX417" s="104" t="n"/>
    </row>
    <row r="418">
      <c r="AP418" s="105" t="n"/>
      <c r="AQ418" s="105" t="n"/>
      <c r="AX418" s="104" t="n"/>
    </row>
    <row r="419">
      <c r="AP419" s="105" t="n"/>
      <c r="AQ419" s="105" t="n"/>
      <c r="AX419" s="104" t="n"/>
    </row>
    <row r="420">
      <c r="AP420" s="105" t="n"/>
      <c r="AQ420" s="105" t="n"/>
      <c r="AX420" s="104" t="n"/>
    </row>
    <row r="421">
      <c r="AP421" s="105" t="n"/>
      <c r="AQ421" s="105" t="n"/>
      <c r="AX421" s="104" t="n"/>
    </row>
    <row r="422">
      <c r="AP422" s="105" t="n"/>
      <c r="AQ422" s="105" t="n"/>
      <c r="AX422" s="104" t="n"/>
    </row>
    <row r="423">
      <c r="AP423" s="105" t="n"/>
      <c r="AQ423" s="105" t="n"/>
      <c r="AX423" s="104" t="n"/>
    </row>
    <row r="424">
      <c r="AP424" s="105" t="n"/>
      <c r="AQ424" s="105" t="n"/>
      <c r="AX424" s="104" t="n"/>
    </row>
    <row r="425">
      <c r="AP425" s="105" t="n"/>
      <c r="AQ425" s="105" t="n"/>
      <c r="AX425" s="104" t="n"/>
    </row>
    <row r="426">
      <c r="AP426" s="105" t="n"/>
      <c r="AQ426" s="105" t="n"/>
      <c r="AX426" s="104" t="n"/>
    </row>
    <row r="427">
      <c r="AP427" s="105" t="n"/>
      <c r="AQ427" s="105" t="n"/>
      <c r="AX427" s="104" t="n"/>
    </row>
    <row r="428">
      <c r="AP428" s="105" t="n"/>
      <c r="AQ428" s="105" t="n"/>
      <c r="AX428" s="104" t="n"/>
    </row>
    <row r="429">
      <c r="AP429" s="105" t="n"/>
      <c r="AQ429" s="105" t="n"/>
      <c r="AX429" s="104" t="n"/>
    </row>
    <row r="430">
      <c r="AP430" s="105" t="n"/>
      <c r="AQ430" s="105" t="n"/>
      <c r="AX430" s="104" t="n"/>
    </row>
    <row r="431">
      <c r="AP431" s="105" t="n"/>
      <c r="AQ431" s="105" t="n"/>
      <c r="AX431" s="104" t="n"/>
    </row>
    <row r="432">
      <c r="AP432" s="105" t="n"/>
      <c r="AQ432" s="105" t="n"/>
      <c r="AX432" s="104" t="n"/>
    </row>
    <row r="433">
      <c r="AP433" s="105" t="n"/>
      <c r="AQ433" s="105" t="n"/>
      <c r="AX433" s="104" t="n"/>
    </row>
    <row r="434">
      <c r="AP434" s="105" t="n"/>
      <c r="AQ434" s="105" t="n"/>
      <c r="AX434" s="104" t="n"/>
    </row>
    <row r="435">
      <c r="AP435" s="105" t="n"/>
      <c r="AQ435" s="105" t="n"/>
      <c r="AX435" s="104" t="n"/>
    </row>
    <row r="436">
      <c r="AP436" s="105" t="n"/>
      <c r="AQ436" s="105" t="n"/>
      <c r="AX436" s="104" t="n"/>
    </row>
    <row r="437">
      <c r="AP437" s="105" t="n"/>
      <c r="AQ437" s="105" t="n"/>
      <c r="AX437" s="104" t="n"/>
    </row>
    <row r="438">
      <c r="AP438" s="105" t="n"/>
      <c r="AQ438" s="105" t="n"/>
      <c r="AX438" s="104" t="n"/>
    </row>
    <row r="439">
      <c r="AP439" s="105" t="n"/>
      <c r="AQ439" s="105" t="n"/>
      <c r="AX439" s="104" t="n"/>
    </row>
    <row r="440">
      <c r="AP440" s="105" t="n"/>
      <c r="AQ440" s="105" t="n"/>
      <c r="AX440" s="104" t="n"/>
    </row>
    <row r="441">
      <c r="AP441" s="105" t="n"/>
      <c r="AQ441" s="105" t="n"/>
      <c r="AX441" s="104" t="n"/>
    </row>
    <row r="442">
      <c r="AP442" s="105" t="n"/>
      <c r="AQ442" s="105" t="n"/>
      <c r="AX442" s="104" t="n"/>
    </row>
    <row r="443">
      <c r="AP443" s="105" t="n"/>
      <c r="AQ443" s="105" t="n"/>
      <c r="AX443" s="104" t="n"/>
    </row>
    <row r="444">
      <c r="AP444" s="105" t="n"/>
      <c r="AQ444" s="105" t="n"/>
      <c r="AX444" s="104" t="n"/>
    </row>
    <row r="445">
      <c r="AP445" s="105" t="n"/>
      <c r="AQ445" s="105" t="n"/>
      <c r="AX445" s="104" t="n"/>
    </row>
    <row r="446">
      <c r="AP446" s="105" t="n"/>
      <c r="AQ446" s="105" t="n"/>
      <c r="AX446" s="104" t="n"/>
    </row>
    <row r="447">
      <c r="AP447" s="105" t="n"/>
      <c r="AQ447" s="105" t="n"/>
      <c r="AX447" s="104" t="n"/>
    </row>
    <row r="448">
      <c r="AP448" s="105" t="n"/>
      <c r="AQ448" s="105" t="n"/>
      <c r="AX448" s="104" t="n"/>
    </row>
    <row r="449">
      <c r="AP449" s="105" t="n"/>
      <c r="AQ449" s="105" t="n"/>
      <c r="AX449" s="104" t="n"/>
    </row>
    <row r="450">
      <c r="AP450" s="105" t="n"/>
      <c r="AQ450" s="105" t="n"/>
      <c r="AX450" s="104" t="n"/>
    </row>
    <row r="451">
      <c r="AP451" s="105" t="n"/>
      <c r="AQ451" s="105" t="n"/>
      <c r="AX451" s="104" t="n"/>
    </row>
    <row r="452">
      <c r="AP452" s="105" t="n"/>
      <c r="AQ452" s="105" t="n"/>
      <c r="AX452" s="104" t="n"/>
    </row>
    <row r="453">
      <c r="AP453" s="105" t="n"/>
      <c r="AQ453" s="105" t="n"/>
      <c r="AX453" s="104" t="n"/>
    </row>
    <row r="454">
      <c r="AP454" s="105" t="n"/>
      <c r="AQ454" s="105" t="n"/>
      <c r="AX454" s="104" t="n"/>
    </row>
    <row r="455">
      <c r="AP455" s="105" t="n"/>
      <c r="AQ455" s="105" t="n"/>
      <c r="AX455" s="104" t="n"/>
    </row>
    <row r="456">
      <c r="AP456" s="105" t="n"/>
      <c r="AQ456" s="105" t="n"/>
      <c r="AX456" s="104" t="n"/>
    </row>
    <row r="457">
      <c r="AP457" s="105" t="n"/>
      <c r="AQ457" s="105" t="n"/>
      <c r="AX457" s="104" t="n"/>
    </row>
    <row r="458">
      <c r="AP458" s="105" t="n"/>
      <c r="AQ458" s="105" t="n"/>
      <c r="AX458" s="104" t="n"/>
    </row>
    <row r="459">
      <c r="AP459" s="105" t="n"/>
      <c r="AQ459" s="105" t="n"/>
      <c r="AX459" s="104" t="n"/>
    </row>
    <row r="460">
      <c r="AP460" s="105" t="n"/>
      <c r="AQ460" s="105" t="n"/>
      <c r="AX460" s="104" t="n"/>
    </row>
    <row r="461">
      <c r="AP461" s="105" t="n"/>
      <c r="AQ461" s="105" t="n"/>
      <c r="AX461" s="104" t="n"/>
    </row>
    <row r="462">
      <c r="AP462" s="105" t="n"/>
      <c r="AQ462" s="105" t="n"/>
      <c r="AX462" s="104" t="n"/>
    </row>
    <row r="463">
      <c r="AP463" s="105" t="n"/>
      <c r="AQ463" s="105" t="n"/>
      <c r="AX463" s="104" t="n"/>
    </row>
    <row r="464">
      <c r="AP464" s="105" t="n"/>
      <c r="AQ464" s="105" t="n"/>
      <c r="AX464" s="104" t="n"/>
    </row>
    <row r="465">
      <c r="AP465" s="105" t="n"/>
      <c r="AQ465" s="105" t="n"/>
      <c r="AX465" s="104" t="n"/>
    </row>
    <row r="466">
      <c r="AP466" s="105" t="n"/>
      <c r="AQ466" s="105" t="n"/>
      <c r="AX466" s="104" t="n"/>
    </row>
    <row r="467">
      <c r="AP467" s="105" t="n"/>
      <c r="AQ467" s="105" t="n"/>
      <c r="AX467" s="104" t="n"/>
    </row>
    <row r="468">
      <c r="AP468" s="105" t="n"/>
      <c r="AQ468" s="105" t="n"/>
      <c r="AX468" s="104" t="n"/>
    </row>
    <row r="469">
      <c r="AP469" s="105" t="n"/>
      <c r="AQ469" s="105" t="n"/>
      <c r="AX469" s="104" t="n"/>
    </row>
    <row r="470">
      <c r="AP470" s="105" t="n"/>
      <c r="AQ470" s="105" t="n"/>
      <c r="AX470" s="104" t="n"/>
    </row>
    <row r="471">
      <c r="AP471" s="105" t="n"/>
      <c r="AQ471" s="105" t="n"/>
      <c r="AX471" s="104" t="n"/>
    </row>
    <row r="472">
      <c r="AP472" s="105" t="n"/>
      <c r="AQ472" s="105" t="n"/>
      <c r="AX472" s="104" t="n"/>
    </row>
    <row r="473">
      <c r="AP473" s="105" t="n"/>
      <c r="AQ473" s="105" t="n"/>
      <c r="AX473" s="104" t="n"/>
    </row>
    <row r="474">
      <c r="AP474" s="105" t="n"/>
      <c r="AQ474" s="105" t="n"/>
      <c r="AX474" s="104" t="n"/>
    </row>
    <row r="475">
      <c r="AP475" s="105" t="n"/>
      <c r="AQ475" s="105" t="n"/>
      <c r="AX475" s="104" t="n"/>
    </row>
    <row r="476">
      <c r="AP476" s="105" t="n"/>
      <c r="AQ476" s="105" t="n"/>
      <c r="AX476" s="104" t="n"/>
    </row>
    <row r="477">
      <c r="AP477" s="105" t="n"/>
      <c r="AQ477" s="105" t="n"/>
      <c r="AX477" s="104" t="n"/>
    </row>
    <row r="478">
      <c r="AP478" s="105" t="n"/>
      <c r="AQ478" s="105" t="n"/>
      <c r="AX478" s="104" t="n"/>
    </row>
    <row r="479">
      <c r="AP479" s="105" t="n"/>
      <c r="AQ479" s="105" t="n"/>
      <c r="AX479" s="104" t="n"/>
    </row>
    <row r="480">
      <c r="AP480" s="105" t="n"/>
      <c r="AQ480" s="105" t="n"/>
      <c r="AX480" s="104" t="n"/>
    </row>
    <row r="481">
      <c r="AP481" s="105" t="n"/>
      <c r="AQ481" s="105" t="n"/>
      <c r="AX481" s="104" t="n"/>
    </row>
    <row r="482">
      <c r="AP482" s="105" t="n"/>
      <c r="AQ482" s="105" t="n"/>
      <c r="AX482" s="104" t="n"/>
    </row>
    <row r="483">
      <c r="AP483" s="105" t="n"/>
      <c r="AQ483" s="105" t="n"/>
      <c r="AX483" s="104" t="n"/>
    </row>
    <row r="484">
      <c r="AP484" s="105" t="n"/>
      <c r="AQ484" s="105" t="n"/>
      <c r="AX484" s="104" t="n"/>
    </row>
    <row r="485">
      <c r="AP485" s="105" t="n"/>
      <c r="AQ485" s="105" t="n"/>
      <c r="AX485" s="104" t="n"/>
    </row>
    <row r="486">
      <c r="AP486" s="105" t="n"/>
      <c r="AQ486" s="105" t="n"/>
      <c r="AX486" s="104" t="n"/>
    </row>
    <row r="487">
      <c r="AP487" s="105" t="n"/>
      <c r="AQ487" s="105" t="n"/>
      <c r="AX487" s="104" t="n"/>
    </row>
    <row r="488">
      <c r="AP488" s="105" t="n"/>
      <c r="AQ488" s="105" t="n"/>
      <c r="AX488" s="104" t="n"/>
    </row>
    <row r="489">
      <c r="AP489" s="105" t="n"/>
      <c r="AQ489" s="105" t="n"/>
      <c r="AX489" s="104" t="n"/>
    </row>
    <row r="490">
      <c r="AP490" s="105" t="n"/>
      <c r="AQ490" s="105" t="n"/>
      <c r="AX490" s="104" t="n"/>
    </row>
    <row r="491">
      <c r="AP491" s="105" t="n"/>
      <c r="AQ491" s="105" t="n"/>
      <c r="AX491" s="104" t="n"/>
    </row>
    <row r="492">
      <c r="AP492" s="105" t="n"/>
      <c r="AQ492" s="105" t="n"/>
      <c r="AX492" s="104" t="n"/>
    </row>
    <row r="493">
      <c r="AP493" s="105" t="n"/>
      <c r="AQ493" s="105" t="n"/>
      <c r="AX493" s="104" t="n"/>
    </row>
    <row r="494">
      <c r="AP494" s="105" t="n"/>
      <c r="AQ494" s="105" t="n"/>
      <c r="AX494" s="104" t="n"/>
    </row>
    <row r="495">
      <c r="AP495" s="105" t="n"/>
      <c r="AQ495" s="105" t="n"/>
      <c r="AX495" s="104" t="n"/>
    </row>
    <row r="496">
      <c r="AP496" s="105" t="n"/>
      <c r="AQ496" s="105" t="n"/>
      <c r="AX496" s="104" t="n"/>
    </row>
    <row r="497">
      <c r="AP497" s="105" t="n"/>
      <c r="AQ497" s="105" t="n"/>
      <c r="AX497" s="104" t="n"/>
    </row>
    <row r="498">
      <c r="AP498" s="105" t="n"/>
      <c r="AQ498" s="105" t="n"/>
      <c r="AX498" s="104" t="n"/>
    </row>
    <row r="499">
      <c r="AP499" s="105" t="n"/>
      <c r="AQ499" s="105" t="n"/>
      <c r="AX499" s="104" t="n"/>
    </row>
    <row r="500">
      <c r="AP500" s="105" t="n"/>
      <c r="AQ500" s="105" t="n"/>
      <c r="AX500" s="104" t="n"/>
    </row>
    <row r="501">
      <c r="AP501" s="105" t="n"/>
      <c r="AQ501" s="105" t="n"/>
      <c r="AX501" s="104" t="n"/>
    </row>
    <row r="502">
      <c r="AP502" s="105" t="n"/>
      <c r="AQ502" s="105" t="n"/>
      <c r="AX502" s="104" t="n"/>
    </row>
    <row r="503">
      <c r="AP503" s="105" t="n"/>
      <c r="AQ503" s="105" t="n"/>
      <c r="AX503" s="104" t="n"/>
    </row>
    <row r="504">
      <c r="AP504" s="105" t="n"/>
      <c r="AQ504" s="105" t="n"/>
      <c r="AX504" s="104" t="n"/>
    </row>
    <row r="505">
      <c r="AP505" s="105" t="n"/>
      <c r="AQ505" s="105" t="n"/>
      <c r="AX505" s="104" t="n"/>
    </row>
    <row r="506">
      <c r="AP506" s="105" t="n"/>
      <c r="AQ506" s="105" t="n"/>
      <c r="AX506" s="104" t="n"/>
    </row>
    <row r="507">
      <c r="AP507" s="105" t="n"/>
      <c r="AQ507" s="105" t="n"/>
      <c r="AX507" s="104" t="n"/>
    </row>
    <row r="508">
      <c r="AP508" s="105" t="n"/>
      <c r="AQ508" s="105" t="n"/>
      <c r="AX508" s="104" t="n"/>
    </row>
    <row r="509">
      <c r="AP509" s="105" t="n"/>
      <c r="AQ509" s="105" t="n"/>
      <c r="AX509" s="104" t="n"/>
    </row>
    <row r="510">
      <c r="AP510" s="105" t="n"/>
      <c r="AQ510" s="105" t="n"/>
      <c r="AX510" s="104" t="n"/>
    </row>
    <row r="511">
      <c r="AP511" s="105" t="n"/>
      <c r="AQ511" s="105" t="n"/>
      <c r="AX511" s="104" t="n"/>
    </row>
    <row r="512">
      <c r="AP512" s="105" t="n"/>
      <c r="AQ512" s="105" t="n"/>
      <c r="AX512" s="104" t="n"/>
    </row>
    <row r="513">
      <c r="AP513" s="105" t="n"/>
      <c r="AQ513" s="105" t="n"/>
      <c r="AX513" s="104" t="n"/>
    </row>
    <row r="514">
      <c r="AP514" s="105" t="n"/>
      <c r="AQ514" s="105" t="n"/>
      <c r="AX514" s="104" t="n"/>
    </row>
    <row r="515">
      <c r="AP515" s="105" t="n"/>
      <c r="AQ515" s="105" t="n"/>
      <c r="AX515" s="104" t="n"/>
    </row>
    <row r="516">
      <c r="AP516" s="105" t="n"/>
      <c r="AQ516" s="105" t="n"/>
      <c r="AX516" s="104" t="n"/>
    </row>
    <row r="517">
      <c r="AP517" s="105" t="n"/>
      <c r="AQ517" s="105" t="n"/>
      <c r="AX517" s="104" t="n"/>
    </row>
    <row r="518">
      <c r="AP518" s="105" t="n"/>
      <c r="AQ518" s="105" t="n"/>
      <c r="AX518" s="104" t="n"/>
    </row>
    <row r="519">
      <c r="AP519" s="105" t="n"/>
      <c r="AQ519" s="105" t="n"/>
      <c r="AX519" s="104" t="n"/>
    </row>
    <row r="520">
      <c r="AP520" s="105" t="n"/>
      <c r="AQ520" s="105" t="n"/>
      <c r="AX520" s="104" t="n"/>
    </row>
    <row r="521">
      <c r="AP521" s="105" t="n"/>
      <c r="AQ521" s="105" t="n"/>
      <c r="AX521" s="104" t="n"/>
    </row>
    <row r="522">
      <c r="AP522" s="105" t="n"/>
      <c r="AQ522" s="105" t="n"/>
      <c r="AX522" s="104" t="n"/>
    </row>
    <row r="523">
      <c r="AP523" s="105" t="n"/>
      <c r="AQ523" s="105" t="n"/>
      <c r="AX523" s="104" t="n"/>
    </row>
    <row r="524">
      <c r="AP524" s="105" t="n"/>
      <c r="AQ524" s="105" t="n"/>
      <c r="AX524" s="104" t="n"/>
    </row>
    <row r="525">
      <c r="AP525" s="105" t="n"/>
      <c r="AQ525" s="105" t="n"/>
      <c r="AX525" s="104" t="n"/>
    </row>
    <row r="526">
      <c r="AP526" s="105" t="n"/>
      <c r="AQ526" s="105" t="n"/>
      <c r="AX526" s="104" t="n"/>
    </row>
    <row r="527">
      <c r="AP527" s="105" t="n"/>
      <c r="AQ527" s="105" t="n"/>
      <c r="AX527" s="104" t="n"/>
    </row>
    <row r="528">
      <c r="AP528" s="105" t="n"/>
      <c r="AQ528" s="105" t="n"/>
      <c r="AX528" s="104" t="n"/>
    </row>
    <row r="529">
      <c r="AP529" s="105" t="n"/>
      <c r="AQ529" s="105" t="n"/>
      <c r="AX529" s="104" t="n"/>
    </row>
    <row r="530">
      <c r="AP530" s="105" t="n"/>
      <c r="AQ530" s="105" t="n"/>
      <c r="AX530" s="104" t="n"/>
    </row>
    <row r="531">
      <c r="AP531" s="105" t="n"/>
      <c r="AQ531" s="105" t="n"/>
      <c r="AX531" s="104" t="n"/>
    </row>
    <row r="532">
      <c r="AP532" s="105" t="n"/>
      <c r="AQ532" s="105" t="n"/>
      <c r="AX532" s="104" t="n"/>
    </row>
    <row r="533">
      <c r="AP533" s="105" t="n"/>
      <c r="AQ533" s="105" t="n"/>
      <c r="AX533" s="104" t="n"/>
    </row>
    <row r="534">
      <c r="AP534" s="105" t="n"/>
      <c r="AQ534" s="105" t="n"/>
      <c r="AX534" s="104" t="n"/>
    </row>
    <row r="535">
      <c r="AP535" s="105" t="n"/>
      <c r="AQ535" s="105" t="n"/>
      <c r="AX535" s="104" t="n"/>
    </row>
    <row r="536">
      <c r="AP536" s="105" t="n"/>
      <c r="AQ536" s="105" t="n"/>
      <c r="AX536" s="104" t="n"/>
    </row>
    <row r="537">
      <c r="AP537" s="105" t="n"/>
      <c r="AQ537" s="105" t="n"/>
      <c r="AX537" s="104" t="n"/>
    </row>
    <row r="538">
      <c r="AP538" s="105" t="n"/>
      <c r="AQ538" s="105" t="n"/>
      <c r="AX538" s="104" t="n"/>
    </row>
    <row r="539">
      <c r="AP539" s="105" t="n"/>
      <c r="AQ539" s="105" t="n"/>
      <c r="AX539" s="104" t="n"/>
    </row>
    <row r="540">
      <c r="AP540" s="105" t="n"/>
      <c r="AQ540" s="105" t="n"/>
      <c r="AX540" s="104" t="n"/>
    </row>
    <row r="541">
      <c r="AP541" s="105" t="n"/>
      <c r="AQ541" s="105" t="n"/>
      <c r="AX541" s="104" t="n"/>
    </row>
    <row r="542">
      <c r="AP542" s="105" t="n"/>
      <c r="AQ542" s="105" t="n"/>
      <c r="AX542" s="104" t="n"/>
    </row>
    <row r="543">
      <c r="AP543" s="105" t="n"/>
      <c r="AQ543" s="105" t="n"/>
      <c r="AX543" s="104" t="n"/>
    </row>
    <row r="544">
      <c r="AP544" s="105" t="n"/>
      <c r="AQ544" s="105" t="n"/>
      <c r="AX544" s="104" t="n"/>
    </row>
    <row r="545">
      <c r="AP545" s="105" t="n"/>
      <c r="AQ545" s="105" t="n"/>
      <c r="AX545" s="104" t="n"/>
    </row>
    <row r="546">
      <c r="AP546" s="105" t="n"/>
      <c r="AQ546" s="105" t="n"/>
      <c r="AX546" s="104" t="n"/>
    </row>
    <row r="547">
      <c r="AP547" s="105" t="n"/>
      <c r="AQ547" s="105" t="n"/>
      <c r="AX547" s="104" t="n"/>
    </row>
    <row r="548">
      <c r="AP548" s="105" t="n"/>
      <c r="AQ548" s="105" t="n"/>
      <c r="AX548" s="104" t="n"/>
    </row>
    <row r="549">
      <c r="AP549" s="105" t="n"/>
      <c r="AQ549" s="105" t="n"/>
      <c r="AX549" s="104" t="n"/>
    </row>
    <row r="550">
      <c r="AP550" s="105" t="n"/>
      <c r="AQ550" s="105" t="n"/>
      <c r="AX550" s="104" t="n"/>
    </row>
    <row r="551">
      <c r="AP551" s="105" t="n"/>
      <c r="AQ551" s="105" t="n"/>
      <c r="AX551" s="104" t="n"/>
    </row>
    <row r="552">
      <c r="AP552" s="105" t="n"/>
      <c r="AQ552" s="105" t="n"/>
      <c r="AX552" s="104" t="n"/>
    </row>
    <row r="553">
      <c r="AP553" s="105" t="n"/>
      <c r="AQ553" s="105" t="n"/>
      <c r="AX553" s="104" t="n"/>
    </row>
    <row r="554">
      <c r="AP554" s="105" t="n"/>
      <c r="AQ554" s="105" t="n"/>
      <c r="AX554" s="104" t="n"/>
    </row>
    <row r="555">
      <c r="AP555" s="105" t="n"/>
      <c r="AQ555" s="105" t="n"/>
      <c r="AX555" s="104" t="n"/>
    </row>
    <row r="556">
      <c r="AP556" s="105" t="n"/>
      <c r="AQ556" s="105" t="n"/>
      <c r="AX556" s="104" t="n"/>
    </row>
    <row r="557">
      <c r="AP557" s="105" t="n"/>
      <c r="AQ557" s="105" t="n"/>
      <c r="AX557" s="104" t="n"/>
    </row>
    <row r="558">
      <c r="AP558" s="105" t="n"/>
      <c r="AQ558" s="105" t="n"/>
      <c r="AX558" s="104" t="n"/>
    </row>
    <row r="559">
      <c r="AP559" s="105" t="n"/>
      <c r="AQ559" s="105" t="n"/>
      <c r="AX559" s="104" t="n"/>
    </row>
    <row r="560">
      <c r="AP560" s="105" t="n"/>
      <c r="AQ560" s="105" t="n"/>
      <c r="AX560" s="104" t="n"/>
    </row>
    <row r="561">
      <c r="AP561" s="105" t="n"/>
      <c r="AQ561" s="105" t="n"/>
      <c r="AX561" s="104" t="n"/>
    </row>
    <row r="562">
      <c r="AP562" s="105" t="n"/>
      <c r="AQ562" s="105" t="n"/>
      <c r="AX562" s="104" t="n"/>
    </row>
    <row r="563">
      <c r="AP563" s="105" t="n"/>
      <c r="AQ563" s="105" t="n"/>
      <c r="AX563" s="104" t="n"/>
    </row>
    <row r="564">
      <c r="AP564" s="105" t="n"/>
      <c r="AQ564" s="105" t="n"/>
      <c r="AX564" s="104" t="n"/>
    </row>
    <row r="565">
      <c r="AP565" s="105" t="n"/>
      <c r="AQ565" s="105" t="n"/>
      <c r="AX565" s="104" t="n"/>
    </row>
    <row r="566">
      <c r="AP566" s="105" t="n"/>
      <c r="AQ566" s="105" t="n"/>
      <c r="AX566" s="104" t="n"/>
    </row>
    <row r="567">
      <c r="AP567" s="105" t="n"/>
      <c r="AQ567" s="105" t="n"/>
      <c r="AX567" s="104" t="n"/>
    </row>
    <row r="568">
      <c r="AP568" s="105" t="n"/>
      <c r="AQ568" s="105" t="n"/>
      <c r="AX568" s="104" t="n"/>
    </row>
    <row r="569">
      <c r="AP569" s="105" t="n"/>
      <c r="AQ569" s="105" t="n"/>
      <c r="AX569" s="104" t="n"/>
    </row>
    <row r="570">
      <c r="AP570" s="105" t="n"/>
      <c r="AQ570" s="105" t="n"/>
      <c r="AX570" s="104" t="n"/>
    </row>
    <row r="571">
      <c r="AP571" s="105" t="n"/>
      <c r="AQ571" s="105" t="n"/>
      <c r="AX571" s="104" t="n"/>
    </row>
    <row r="572">
      <c r="AP572" s="105" t="n"/>
      <c r="AQ572" s="105" t="n"/>
      <c r="AX572" s="104" t="n"/>
    </row>
    <row r="573">
      <c r="AP573" s="105" t="n"/>
      <c r="AQ573" s="105" t="n"/>
      <c r="AX573" s="104" t="n"/>
    </row>
    <row r="574">
      <c r="AP574" s="105" t="n"/>
      <c r="AQ574" s="105" t="n"/>
      <c r="AX574" s="104" t="n"/>
    </row>
    <row r="575">
      <c r="AP575" s="105" t="n"/>
      <c r="AQ575" s="105" t="n"/>
      <c r="AX575" s="104" t="n"/>
    </row>
    <row r="576">
      <c r="AP576" s="105" t="n"/>
      <c r="AQ576" s="105" t="n"/>
      <c r="AX576" s="104" t="n"/>
    </row>
    <row r="577">
      <c r="AP577" s="105" t="n"/>
      <c r="AQ577" s="105" t="n"/>
      <c r="AX577" s="104" t="n"/>
    </row>
    <row r="578">
      <c r="AP578" s="105" t="n"/>
      <c r="AQ578" s="105" t="n"/>
      <c r="AX578" s="104" t="n"/>
    </row>
    <row r="579">
      <c r="AP579" s="105" t="n"/>
      <c r="AQ579" s="105" t="n"/>
      <c r="AX579" s="104" t="n"/>
    </row>
    <row r="580">
      <c r="AP580" s="105" t="n"/>
      <c r="AQ580" s="105" t="n"/>
      <c r="AX580" s="104" t="n"/>
    </row>
    <row r="581">
      <c r="AP581" s="105" t="n"/>
      <c r="AQ581" s="105" t="n"/>
      <c r="AX581" s="104" t="n"/>
    </row>
    <row r="582">
      <c r="AP582" s="105" t="n"/>
      <c r="AQ582" s="105" t="n"/>
      <c r="AX582" s="104" t="n"/>
    </row>
    <row r="583">
      <c r="AP583" s="105" t="n"/>
      <c r="AQ583" s="105" t="n"/>
      <c r="AX583" s="104" t="n"/>
    </row>
    <row r="584">
      <c r="AP584" s="105" t="n"/>
      <c r="AQ584" s="105" t="n"/>
      <c r="AX584" s="104" t="n"/>
    </row>
    <row r="585">
      <c r="AP585" s="105" t="n"/>
      <c r="AQ585" s="105" t="n"/>
      <c r="AX585" s="104" t="n"/>
    </row>
    <row r="586">
      <c r="AP586" s="105" t="n"/>
      <c r="AQ586" s="105" t="n"/>
      <c r="AX586" s="104" t="n"/>
    </row>
    <row r="587">
      <c r="AP587" s="105" t="n"/>
      <c r="AQ587" s="105" t="n"/>
      <c r="AX587" s="104" t="n"/>
    </row>
    <row r="588">
      <c r="AP588" s="105" t="n"/>
      <c r="AQ588" s="105" t="n"/>
      <c r="AX588" s="104" t="n"/>
    </row>
    <row r="589">
      <c r="AP589" s="105" t="n"/>
      <c r="AQ589" s="105" t="n"/>
      <c r="AX589" s="104" t="n"/>
    </row>
    <row r="590">
      <c r="AP590" s="105" t="n"/>
      <c r="AQ590" s="105" t="n"/>
      <c r="AX590" s="104" t="n"/>
    </row>
    <row r="591">
      <c r="AP591" s="105" t="n"/>
      <c r="AQ591" s="105" t="n"/>
      <c r="AX591" s="104" t="n"/>
    </row>
    <row r="592">
      <c r="AP592" s="105" t="n"/>
      <c r="AQ592" s="105" t="n"/>
      <c r="AX592" s="104" t="n"/>
    </row>
    <row r="593">
      <c r="AP593" s="105" t="n"/>
      <c r="AQ593" s="105" t="n"/>
      <c r="AX593" s="104" t="n"/>
    </row>
    <row r="594">
      <c r="AP594" s="105" t="n"/>
      <c r="AQ594" s="105" t="n"/>
      <c r="AX594" s="104" t="n"/>
    </row>
    <row r="595">
      <c r="AP595" s="105" t="n"/>
      <c r="AQ595" s="105" t="n"/>
      <c r="AX595" s="104" t="n"/>
    </row>
    <row r="596">
      <c r="AP596" s="105" t="n"/>
      <c r="AQ596" s="105" t="n"/>
      <c r="AX596" s="104" t="n"/>
    </row>
    <row r="597">
      <c r="AP597" s="105" t="n"/>
      <c r="AQ597" s="105" t="n"/>
      <c r="AX597" s="104" t="n"/>
    </row>
    <row r="598">
      <c r="AP598" s="105" t="n"/>
      <c r="AQ598" s="105" t="n"/>
      <c r="AX598" s="104" t="n"/>
    </row>
    <row r="599">
      <c r="AP599" s="105" t="n"/>
      <c r="AQ599" s="105" t="n"/>
      <c r="AX599" s="104" t="n"/>
    </row>
    <row r="600">
      <c r="AP600" s="105" t="n"/>
      <c r="AQ600" s="105" t="n"/>
      <c r="AX600" s="104" t="n"/>
    </row>
    <row r="601">
      <c r="AP601" s="105" t="n"/>
      <c r="AQ601" s="105" t="n"/>
      <c r="AX601" s="104" t="n"/>
    </row>
    <row r="602">
      <c r="AP602" s="105" t="n"/>
      <c r="AQ602" s="105" t="n"/>
      <c r="AX602" s="104" t="n"/>
    </row>
    <row r="603">
      <c r="AP603" s="105" t="n"/>
      <c r="AQ603" s="105" t="n"/>
      <c r="AX603" s="104" t="n"/>
    </row>
    <row r="604">
      <c r="AP604" s="105" t="n"/>
      <c r="AQ604" s="105" t="n"/>
      <c r="AX604" s="104" t="n"/>
    </row>
    <row r="605">
      <c r="AP605" s="105" t="n"/>
      <c r="AQ605" s="105" t="n"/>
      <c r="AX605" s="104" t="n"/>
    </row>
    <row r="606">
      <c r="AP606" s="105" t="n"/>
      <c r="AQ606" s="105" t="n"/>
      <c r="AX606" s="104" t="n"/>
    </row>
    <row r="607">
      <c r="AP607" s="105" t="n"/>
      <c r="AQ607" s="105" t="n"/>
      <c r="AX607" s="104" t="n"/>
    </row>
    <row r="608">
      <c r="AP608" s="105" t="n"/>
      <c r="AQ608" s="105" t="n"/>
      <c r="AX608" s="104" t="n"/>
    </row>
    <row r="609">
      <c r="AP609" s="105" t="n"/>
      <c r="AQ609" s="105" t="n"/>
      <c r="AX609" s="104" t="n"/>
    </row>
    <row r="610">
      <c r="AP610" s="105" t="n"/>
      <c r="AQ610" s="105" t="n"/>
      <c r="AX610" s="104" t="n"/>
    </row>
    <row r="611">
      <c r="AP611" s="105" t="n"/>
      <c r="AQ611" s="105" t="n"/>
      <c r="AX611" s="104" t="n"/>
    </row>
    <row r="612">
      <c r="AP612" s="105" t="n"/>
      <c r="AQ612" s="105" t="n"/>
      <c r="AX612" s="104" t="n"/>
    </row>
    <row r="613">
      <c r="AP613" s="105" t="n"/>
      <c r="AQ613" s="105" t="n"/>
      <c r="AX613" s="104" t="n"/>
    </row>
    <row r="614">
      <c r="AP614" s="105" t="n"/>
      <c r="AQ614" s="105" t="n"/>
      <c r="AX614" s="104" t="n"/>
    </row>
    <row r="615">
      <c r="AP615" s="105" t="n"/>
      <c r="AQ615" s="105" t="n"/>
      <c r="AX615" s="104" t="n"/>
    </row>
    <row r="616">
      <c r="AP616" s="105" t="n"/>
      <c r="AQ616" s="105" t="n"/>
      <c r="AX616" s="104" t="n"/>
    </row>
    <row r="617">
      <c r="AP617" s="105" t="n"/>
      <c r="AQ617" s="105" t="n"/>
      <c r="AX617" s="104" t="n"/>
    </row>
    <row r="618">
      <c r="AP618" s="105" t="n"/>
      <c r="AQ618" s="105" t="n"/>
      <c r="AX618" s="104" t="n"/>
    </row>
    <row r="619">
      <c r="AP619" s="105" t="n"/>
      <c r="AQ619" s="105" t="n"/>
      <c r="AX619" s="104" t="n"/>
    </row>
    <row r="620">
      <c r="AP620" s="105" t="n"/>
      <c r="AQ620" s="105" t="n"/>
      <c r="AX620" s="104" t="n"/>
    </row>
    <row r="621">
      <c r="AP621" s="105" t="n"/>
      <c r="AQ621" s="105" t="n"/>
      <c r="AX621" s="104" t="n"/>
    </row>
    <row r="622">
      <c r="AP622" s="105" t="n"/>
      <c r="AQ622" s="105" t="n"/>
      <c r="AX622" s="104" t="n"/>
    </row>
    <row r="623">
      <c r="AP623" s="105" t="n"/>
      <c r="AQ623" s="105" t="n"/>
      <c r="AX623" s="104" t="n"/>
    </row>
    <row r="624">
      <c r="AP624" s="105" t="n"/>
      <c r="AQ624" s="105" t="n"/>
      <c r="AX624" s="104" t="n"/>
    </row>
    <row r="625">
      <c r="AP625" s="105" t="n"/>
      <c r="AQ625" s="105" t="n"/>
      <c r="AX625" s="104" t="n"/>
    </row>
    <row r="626">
      <c r="AP626" s="105" t="n"/>
      <c r="AQ626" s="105" t="n"/>
      <c r="AX626" s="104" t="n"/>
    </row>
    <row r="627">
      <c r="AP627" s="105" t="n"/>
      <c r="AQ627" s="105" t="n"/>
      <c r="AX627" s="104" t="n"/>
    </row>
    <row r="628">
      <c r="AP628" s="105" t="n"/>
      <c r="AQ628" s="105" t="n"/>
      <c r="AX628" s="104" t="n"/>
    </row>
    <row r="629">
      <c r="AP629" s="105" t="n"/>
      <c r="AQ629" s="105" t="n"/>
      <c r="AX629" s="104" t="n"/>
    </row>
    <row r="630">
      <c r="AP630" s="105" t="n"/>
      <c r="AQ630" s="105" t="n"/>
      <c r="AX630" s="104" t="n"/>
    </row>
    <row r="631">
      <c r="AP631" s="105" t="n"/>
      <c r="AQ631" s="105" t="n"/>
      <c r="AX631" s="104" t="n"/>
    </row>
    <row r="632">
      <c r="AP632" s="105" t="n"/>
      <c r="AQ632" s="105" t="n"/>
      <c r="AX632" s="104" t="n"/>
    </row>
    <row r="633">
      <c r="AP633" s="105" t="n"/>
      <c r="AQ633" s="105" t="n"/>
      <c r="AX633" s="104" t="n"/>
    </row>
    <row r="634">
      <c r="AP634" s="105" t="n"/>
      <c r="AQ634" s="105" t="n"/>
      <c r="AX634" s="104" t="n"/>
    </row>
    <row r="635">
      <c r="AP635" s="105" t="n"/>
      <c r="AQ635" s="105" t="n"/>
      <c r="AX635" s="104" t="n"/>
    </row>
    <row r="636">
      <c r="AP636" s="105" t="n"/>
      <c r="AQ636" s="105" t="n"/>
      <c r="AX636" s="104" t="n"/>
    </row>
    <row r="637">
      <c r="AP637" s="105" t="n"/>
      <c r="AQ637" s="105" t="n"/>
      <c r="AX637" s="104" t="n"/>
    </row>
    <row r="638">
      <c r="AP638" s="105" t="n"/>
      <c r="AQ638" s="105" t="n"/>
      <c r="AX638" s="104" t="n"/>
    </row>
    <row r="639">
      <c r="AP639" s="105" t="n"/>
      <c r="AQ639" s="105" t="n"/>
      <c r="AX639" s="104" t="n"/>
    </row>
    <row r="640">
      <c r="AP640" s="105" t="n"/>
      <c r="AQ640" s="105" t="n"/>
      <c r="AX640" s="104" t="n"/>
    </row>
    <row r="641">
      <c r="AP641" s="105" t="n"/>
      <c r="AQ641" s="105" t="n"/>
      <c r="AX641" s="104" t="n"/>
    </row>
    <row r="642">
      <c r="AP642" s="105" t="n"/>
      <c r="AQ642" s="105" t="n"/>
      <c r="AX642" s="104" t="n"/>
    </row>
    <row r="643">
      <c r="AP643" s="105" t="n"/>
      <c r="AQ643" s="105" t="n"/>
      <c r="AX643" s="104" t="n"/>
    </row>
    <row r="644">
      <c r="AP644" s="105" t="n"/>
      <c r="AQ644" s="105" t="n"/>
      <c r="AX644" s="104" t="n"/>
    </row>
    <row r="645">
      <c r="AP645" s="105" t="n"/>
      <c r="AQ645" s="105" t="n"/>
      <c r="AX645" s="104" t="n"/>
    </row>
    <row r="646">
      <c r="AP646" s="105" t="n"/>
      <c r="AQ646" s="105" t="n"/>
      <c r="AX646" s="104" t="n"/>
    </row>
    <row r="647">
      <c r="AP647" s="105" t="n"/>
      <c r="AQ647" s="105" t="n"/>
      <c r="AX647" s="104" t="n"/>
    </row>
    <row r="648">
      <c r="AP648" s="105" t="n"/>
      <c r="AQ648" s="105" t="n"/>
      <c r="AX648" s="104" t="n"/>
    </row>
    <row r="649">
      <c r="AP649" s="105" t="n"/>
      <c r="AQ649" s="105" t="n"/>
      <c r="AX649" s="104" t="n"/>
    </row>
    <row r="650">
      <c r="AP650" s="105" t="n"/>
      <c r="AQ650" s="105" t="n"/>
      <c r="AX650" s="104" t="n"/>
    </row>
    <row r="651">
      <c r="AP651" s="105" t="n"/>
      <c r="AQ651" s="105" t="n"/>
      <c r="AX651" s="104" t="n"/>
    </row>
    <row r="652">
      <c r="AP652" s="105" t="n"/>
      <c r="AQ652" s="105" t="n"/>
      <c r="AX652" s="104" t="n"/>
    </row>
    <row r="653">
      <c r="AP653" s="105" t="n"/>
      <c r="AQ653" s="105" t="n"/>
      <c r="AX653" s="104" t="n"/>
    </row>
    <row r="654">
      <c r="AP654" s="105" t="n"/>
      <c r="AQ654" s="105" t="n"/>
      <c r="AX654" s="104" t="n"/>
    </row>
    <row r="655">
      <c r="AP655" s="105" t="n"/>
      <c r="AQ655" s="105" t="n"/>
      <c r="AX655" s="104" t="n"/>
    </row>
    <row r="656">
      <c r="AP656" s="105" t="n"/>
      <c r="AQ656" s="105" t="n"/>
      <c r="AX656" s="104" t="n"/>
    </row>
    <row r="657">
      <c r="AP657" s="105" t="n"/>
      <c r="AQ657" s="105" t="n"/>
      <c r="AX657" s="104" t="n"/>
    </row>
    <row r="658">
      <c r="AP658" s="105" t="n"/>
      <c r="AQ658" s="105" t="n"/>
      <c r="AX658" s="104" t="n"/>
    </row>
    <row r="659">
      <c r="AP659" s="105" t="n"/>
      <c r="AQ659" s="105" t="n"/>
      <c r="AX659" s="104" t="n"/>
    </row>
    <row r="660">
      <c r="AP660" s="105" t="n"/>
      <c r="AQ660" s="105" t="n"/>
      <c r="AX660" s="104" t="n"/>
    </row>
    <row r="661">
      <c r="AP661" s="105" t="n"/>
      <c r="AQ661" s="105" t="n"/>
      <c r="AX661" s="104" t="n"/>
    </row>
    <row r="662">
      <c r="AP662" s="105" t="n"/>
      <c r="AQ662" s="105" t="n"/>
      <c r="AX662" s="104" t="n"/>
    </row>
    <row r="663">
      <c r="AP663" s="105" t="n"/>
      <c r="AQ663" s="105" t="n"/>
      <c r="AX663" s="104" t="n"/>
    </row>
    <row r="664">
      <c r="AP664" s="105" t="n"/>
      <c r="AQ664" s="105" t="n"/>
      <c r="AX664" s="104" t="n"/>
    </row>
    <row r="665">
      <c r="AP665" s="105" t="n"/>
      <c r="AQ665" s="105" t="n"/>
      <c r="AX665" s="104" t="n"/>
    </row>
    <row r="666">
      <c r="AP666" s="105" t="n"/>
      <c r="AQ666" s="105" t="n"/>
      <c r="AX666" s="104" t="n"/>
    </row>
    <row r="667">
      <c r="AP667" s="105" t="n"/>
      <c r="AQ667" s="105" t="n"/>
      <c r="AX667" s="104" t="n"/>
    </row>
    <row r="668">
      <c r="AP668" s="105" t="n"/>
      <c r="AQ668" s="105" t="n"/>
      <c r="AX668" s="104" t="n"/>
    </row>
    <row r="669">
      <c r="AP669" s="105" t="n"/>
      <c r="AQ669" s="105" t="n"/>
      <c r="AX669" s="104" t="n"/>
    </row>
    <row r="670">
      <c r="AP670" s="105" t="n"/>
      <c r="AQ670" s="105" t="n"/>
      <c r="AX670" s="104" t="n"/>
    </row>
    <row r="671">
      <c r="AP671" s="105" t="n"/>
      <c r="AQ671" s="105" t="n"/>
      <c r="AX671" s="104" t="n"/>
    </row>
    <row r="672">
      <c r="AP672" s="105" t="n"/>
      <c r="AQ672" s="105" t="n"/>
      <c r="AX672" s="104" t="n"/>
    </row>
    <row r="673">
      <c r="AP673" s="105" t="n"/>
      <c r="AQ673" s="105" t="n"/>
      <c r="AX673" s="104" t="n"/>
    </row>
    <row r="674">
      <c r="AP674" s="105" t="n"/>
      <c r="AQ674" s="105" t="n"/>
      <c r="AX674" s="104" t="n"/>
    </row>
    <row r="675">
      <c r="AP675" s="105" t="n"/>
      <c r="AQ675" s="105" t="n"/>
      <c r="AX675" s="104" t="n"/>
    </row>
    <row r="676">
      <c r="AP676" s="105" t="n"/>
      <c r="AQ676" s="105" t="n"/>
      <c r="AX676" s="104" t="n"/>
    </row>
    <row r="677">
      <c r="AP677" s="105" t="n"/>
      <c r="AQ677" s="105" t="n"/>
      <c r="AX677" s="104" t="n"/>
    </row>
    <row r="678">
      <c r="AP678" s="105" t="n"/>
      <c r="AQ678" s="105" t="n"/>
      <c r="AX678" s="104" t="n"/>
    </row>
    <row r="679">
      <c r="AP679" s="105" t="n"/>
      <c r="AQ679" s="105" t="n"/>
      <c r="AX679" s="104" t="n"/>
    </row>
    <row r="680">
      <c r="AP680" s="105" t="n"/>
      <c r="AQ680" s="105" t="n"/>
      <c r="AX680" s="104" t="n"/>
    </row>
    <row r="681">
      <c r="AP681" s="105" t="n"/>
      <c r="AQ681" s="105" t="n"/>
      <c r="AX681" s="104" t="n"/>
    </row>
    <row r="682">
      <c r="AP682" s="105" t="n"/>
      <c r="AQ682" s="105" t="n"/>
      <c r="AX682" s="104" t="n"/>
    </row>
    <row r="683">
      <c r="AP683" s="105" t="n"/>
      <c r="AQ683" s="105" t="n"/>
      <c r="AX683" s="104" t="n"/>
    </row>
    <row r="684">
      <c r="AP684" s="105" t="n"/>
      <c r="AQ684" s="105" t="n"/>
      <c r="AX684" s="104" t="n"/>
    </row>
    <row r="685">
      <c r="AP685" s="105" t="n"/>
      <c r="AQ685" s="105" t="n"/>
      <c r="AX685" s="104" t="n"/>
    </row>
    <row r="686">
      <c r="AP686" s="105" t="n"/>
      <c r="AQ686" s="105" t="n"/>
      <c r="AX686" s="104" t="n"/>
    </row>
    <row r="687">
      <c r="AP687" s="105" t="n"/>
      <c r="AQ687" s="105" t="n"/>
      <c r="AX687" s="104" t="n"/>
    </row>
    <row r="688">
      <c r="AP688" s="105" t="n"/>
      <c r="AQ688" s="105" t="n"/>
      <c r="AX688" s="104" t="n"/>
    </row>
    <row r="689">
      <c r="AP689" s="105" t="n"/>
      <c r="AQ689" s="105" t="n"/>
      <c r="AX689" s="104" t="n"/>
    </row>
    <row r="690">
      <c r="AP690" s="105" t="n"/>
      <c r="AQ690" s="105" t="n"/>
      <c r="AX690" s="104" t="n"/>
    </row>
    <row r="691">
      <c r="AP691" s="105" t="n"/>
      <c r="AQ691" s="105" t="n"/>
      <c r="AX691" s="104" t="n"/>
    </row>
    <row r="692">
      <c r="AP692" s="105" t="n"/>
      <c r="AQ692" s="105" t="n"/>
      <c r="AX692" s="104" t="n"/>
    </row>
    <row r="693">
      <c r="AP693" s="105" t="n"/>
      <c r="AQ693" s="105" t="n"/>
      <c r="AX693" s="104" t="n"/>
    </row>
    <row r="694">
      <c r="AP694" s="105" t="n"/>
      <c r="AQ694" s="105" t="n"/>
      <c r="AX694" s="104" t="n"/>
    </row>
    <row r="695">
      <c r="AP695" s="105" t="n"/>
      <c r="AQ695" s="105" t="n"/>
      <c r="AX695" s="104" t="n"/>
    </row>
    <row r="696">
      <c r="AP696" s="105" t="n"/>
      <c r="AQ696" s="105" t="n"/>
      <c r="AX696" s="104" t="n"/>
    </row>
    <row r="697">
      <c r="AP697" s="105" t="n"/>
      <c r="AQ697" s="105" t="n"/>
      <c r="AX697" s="104" t="n"/>
    </row>
    <row r="698">
      <c r="AP698" s="105" t="n"/>
      <c r="AQ698" s="105" t="n"/>
      <c r="AX698" s="104" t="n"/>
    </row>
    <row r="699">
      <c r="AP699" s="105" t="n"/>
      <c r="AQ699" s="105" t="n"/>
      <c r="AX699" s="104" t="n"/>
    </row>
    <row r="700">
      <c r="AP700" s="105" t="n"/>
      <c r="AQ700" s="105" t="n"/>
      <c r="AX700" s="104" t="n"/>
    </row>
    <row r="701">
      <c r="AP701" s="105" t="n"/>
      <c r="AQ701" s="105" t="n"/>
      <c r="AX701" s="104" t="n"/>
    </row>
    <row r="702">
      <c r="AP702" s="105" t="n"/>
      <c r="AQ702" s="105" t="n"/>
      <c r="AX702" s="104" t="n"/>
    </row>
    <row r="703">
      <c r="AP703" s="105" t="n"/>
      <c r="AQ703" s="105" t="n"/>
      <c r="AX703" s="104" t="n"/>
    </row>
    <row r="704">
      <c r="AP704" s="105" t="n"/>
      <c r="AQ704" s="105" t="n"/>
      <c r="AX704" s="104" t="n"/>
    </row>
    <row r="705">
      <c r="AP705" s="105" t="n"/>
      <c r="AQ705" s="105" t="n"/>
      <c r="AX705" s="104" t="n"/>
    </row>
    <row r="706">
      <c r="AP706" s="105" t="n"/>
      <c r="AQ706" s="105" t="n"/>
      <c r="AX706" s="104" t="n"/>
    </row>
    <row r="707">
      <c r="AP707" s="105" t="n"/>
      <c r="AQ707" s="105" t="n"/>
      <c r="AX707" s="104" t="n"/>
    </row>
    <row r="708">
      <c r="AP708" s="105" t="n"/>
      <c r="AQ708" s="105" t="n"/>
      <c r="AX708" s="104" t="n"/>
    </row>
    <row r="709">
      <c r="AP709" s="105" t="n"/>
      <c r="AQ709" s="105" t="n"/>
      <c r="AX709" s="104" t="n"/>
    </row>
    <row r="710">
      <c r="AP710" s="105" t="n"/>
      <c r="AQ710" s="105" t="n"/>
      <c r="AX710" s="104" t="n"/>
    </row>
    <row r="711">
      <c r="AP711" s="105" t="n"/>
      <c r="AQ711" s="105" t="n"/>
      <c r="AX711" s="104" t="n"/>
    </row>
    <row r="712">
      <c r="AP712" s="105" t="n"/>
      <c r="AQ712" s="105" t="n"/>
      <c r="AX712" s="104" t="n"/>
    </row>
    <row r="713">
      <c r="AP713" s="105" t="n"/>
      <c r="AQ713" s="105" t="n"/>
      <c r="AX713" s="104" t="n"/>
    </row>
    <row r="714">
      <c r="AP714" s="105" t="n"/>
      <c r="AQ714" s="105" t="n"/>
      <c r="AX714" s="104" t="n"/>
    </row>
    <row r="715">
      <c r="AP715" s="105" t="n"/>
      <c r="AQ715" s="105" t="n"/>
      <c r="AX715" s="104" t="n"/>
    </row>
    <row r="716">
      <c r="AP716" s="105" t="n"/>
      <c r="AQ716" s="105" t="n"/>
      <c r="AX716" s="104" t="n"/>
    </row>
    <row r="717">
      <c r="AP717" s="105" t="n"/>
      <c r="AQ717" s="105" t="n"/>
      <c r="AX717" s="104" t="n"/>
    </row>
    <row r="718">
      <c r="AP718" s="105" t="n"/>
      <c r="AQ718" s="105" t="n"/>
      <c r="AX718" s="104" t="n"/>
    </row>
    <row r="719">
      <c r="AP719" s="105" t="n"/>
      <c r="AQ719" s="105" t="n"/>
      <c r="AX719" s="104" t="n"/>
    </row>
    <row r="720">
      <c r="AP720" s="105" t="n"/>
      <c r="AQ720" s="105" t="n"/>
      <c r="AX720" s="104" t="n"/>
    </row>
    <row r="721">
      <c r="AP721" s="105" t="n"/>
      <c r="AQ721" s="105" t="n"/>
      <c r="AX721" s="104" t="n"/>
    </row>
    <row r="722">
      <c r="AP722" s="105" t="n"/>
      <c r="AQ722" s="105" t="n"/>
      <c r="AX722" s="104" t="n"/>
    </row>
    <row r="723">
      <c r="AP723" s="105" t="n"/>
      <c r="AQ723" s="105" t="n"/>
      <c r="AX723" s="104" t="n"/>
    </row>
    <row r="724">
      <c r="AP724" s="105" t="n"/>
      <c r="AQ724" s="105" t="n"/>
      <c r="AX724" s="104" t="n"/>
    </row>
    <row r="725">
      <c r="AP725" s="105" t="n"/>
      <c r="AQ725" s="105" t="n"/>
      <c r="AX725" s="104" t="n"/>
    </row>
    <row r="726">
      <c r="AP726" s="105" t="n"/>
      <c r="AQ726" s="105" t="n"/>
      <c r="AX726" s="104" t="n"/>
    </row>
    <row r="727">
      <c r="AP727" s="105" t="n"/>
      <c r="AQ727" s="105" t="n"/>
      <c r="AX727" s="104" t="n"/>
    </row>
    <row r="728">
      <c r="AP728" s="105" t="n"/>
      <c r="AQ728" s="105" t="n"/>
      <c r="AX728" s="104" t="n"/>
    </row>
    <row r="729">
      <c r="AP729" s="105" t="n"/>
      <c r="AQ729" s="105" t="n"/>
      <c r="AX729" s="104" t="n"/>
    </row>
    <row r="730">
      <c r="AP730" s="105" t="n"/>
      <c r="AQ730" s="105" t="n"/>
      <c r="AX730" s="104" t="n"/>
    </row>
    <row r="731">
      <c r="AP731" s="105" t="n"/>
      <c r="AQ731" s="105" t="n"/>
      <c r="AX731" s="104" t="n"/>
    </row>
    <row r="732">
      <c r="AP732" s="105" t="n"/>
      <c r="AQ732" s="105" t="n"/>
      <c r="AX732" s="104" t="n"/>
    </row>
    <row r="733">
      <c r="AP733" s="105" t="n"/>
      <c r="AQ733" s="105" t="n"/>
      <c r="AX733" s="104" t="n"/>
    </row>
    <row r="734">
      <c r="AP734" s="105" t="n"/>
      <c r="AQ734" s="105" t="n"/>
      <c r="AX734" s="104" t="n"/>
    </row>
    <row r="735">
      <c r="AP735" s="105" t="n"/>
      <c r="AQ735" s="105" t="n"/>
      <c r="AX735" s="104" t="n"/>
    </row>
    <row r="736">
      <c r="AP736" s="105" t="n"/>
      <c r="AQ736" s="105" t="n"/>
      <c r="AX736" s="104" t="n"/>
    </row>
    <row r="737">
      <c r="AP737" s="105" t="n"/>
      <c r="AQ737" s="105" t="n"/>
      <c r="AX737" s="104" t="n"/>
    </row>
    <row r="738">
      <c r="AP738" s="105" t="n"/>
      <c r="AQ738" s="105" t="n"/>
      <c r="AX738" s="104" t="n"/>
    </row>
    <row r="739">
      <c r="AP739" s="105" t="n"/>
      <c r="AQ739" s="105" t="n"/>
      <c r="AX739" s="104" t="n"/>
    </row>
    <row r="740">
      <c r="AP740" s="105" t="n"/>
      <c r="AQ740" s="105" t="n"/>
      <c r="AX740" s="104" t="n"/>
    </row>
    <row r="741">
      <c r="AP741" s="105" t="n"/>
      <c r="AQ741" s="105" t="n"/>
      <c r="AX741" s="104" t="n"/>
    </row>
    <row r="742">
      <c r="AP742" s="105" t="n"/>
      <c r="AQ742" s="105" t="n"/>
      <c r="AX742" s="104" t="n"/>
    </row>
    <row r="743">
      <c r="AP743" s="105" t="n"/>
      <c r="AQ743" s="105" t="n"/>
      <c r="AX743" s="104" t="n"/>
    </row>
    <row r="744">
      <c r="AP744" s="105" t="n"/>
      <c r="AQ744" s="105" t="n"/>
      <c r="AX744" s="104" t="n"/>
    </row>
    <row r="745">
      <c r="AP745" s="105" t="n"/>
      <c r="AQ745" s="105" t="n"/>
      <c r="AX745" s="104" t="n"/>
    </row>
    <row r="746">
      <c r="AP746" s="105" t="n"/>
      <c r="AQ746" s="105" t="n"/>
      <c r="AX746" s="104" t="n"/>
    </row>
    <row r="747">
      <c r="AP747" s="105" t="n"/>
      <c r="AQ747" s="105" t="n"/>
      <c r="AX747" s="104" t="n"/>
    </row>
    <row r="748">
      <c r="AP748" s="105" t="n"/>
      <c r="AQ748" s="105" t="n"/>
      <c r="AX748" s="104" t="n"/>
    </row>
    <row r="749">
      <c r="AP749" s="105" t="n"/>
      <c r="AQ749" s="105" t="n"/>
      <c r="AX749" s="104" t="n"/>
    </row>
    <row r="750">
      <c r="AP750" s="105" t="n"/>
      <c r="AQ750" s="105" t="n"/>
      <c r="AX750" s="104" t="n"/>
    </row>
    <row r="751">
      <c r="AP751" s="105" t="n"/>
      <c r="AQ751" s="105" t="n"/>
      <c r="AX751" s="104" t="n"/>
    </row>
    <row r="752">
      <c r="AP752" s="105" t="n"/>
      <c r="AQ752" s="105" t="n"/>
      <c r="AX752" s="104" t="n"/>
    </row>
    <row r="753">
      <c r="AP753" s="105" t="n"/>
      <c r="AQ753" s="105" t="n"/>
      <c r="AX753" s="104" t="n"/>
    </row>
    <row r="754">
      <c r="AP754" s="105" t="n"/>
      <c r="AQ754" s="105" t="n"/>
      <c r="AX754" s="104" t="n"/>
    </row>
    <row r="755">
      <c r="AP755" s="105" t="n"/>
      <c r="AQ755" s="105" t="n"/>
      <c r="AX755" s="104" t="n"/>
    </row>
    <row r="756">
      <c r="AP756" s="105" t="n"/>
      <c r="AQ756" s="105" t="n"/>
      <c r="AX756" s="104" t="n"/>
    </row>
    <row r="757">
      <c r="AP757" s="105" t="n"/>
      <c r="AQ757" s="105" t="n"/>
      <c r="AX757" s="104" t="n"/>
    </row>
    <row r="758">
      <c r="AP758" s="105" t="n"/>
      <c r="AQ758" s="105" t="n"/>
      <c r="AX758" s="104" t="n"/>
    </row>
    <row r="759">
      <c r="AP759" s="105" t="n"/>
      <c r="AQ759" s="105" t="n"/>
      <c r="AX759" s="104" t="n"/>
    </row>
    <row r="760">
      <c r="AP760" s="105" t="n"/>
      <c r="AQ760" s="105" t="n"/>
      <c r="AX760" s="104" t="n"/>
    </row>
    <row r="761">
      <c r="AP761" s="105" t="n"/>
      <c r="AQ761" s="105" t="n"/>
      <c r="AX761" s="104" t="n"/>
    </row>
    <row r="762">
      <c r="AP762" s="105" t="n"/>
      <c r="AQ762" s="105" t="n"/>
      <c r="AX762" s="104" t="n"/>
    </row>
    <row r="763">
      <c r="AP763" s="105" t="n"/>
      <c r="AQ763" s="105" t="n"/>
      <c r="AX763" s="104" t="n"/>
    </row>
    <row r="764">
      <c r="AP764" s="105" t="n"/>
      <c r="AQ764" s="105" t="n"/>
      <c r="AX764" s="104" t="n"/>
    </row>
    <row r="765">
      <c r="AP765" s="105" t="n"/>
      <c r="AQ765" s="105" t="n"/>
      <c r="AX765" s="104" t="n"/>
    </row>
    <row r="766">
      <c r="AP766" s="105" t="n"/>
      <c r="AQ766" s="105" t="n"/>
      <c r="AX766" s="104" t="n"/>
    </row>
    <row r="767">
      <c r="AP767" s="105" t="n"/>
      <c r="AQ767" s="105" t="n"/>
      <c r="AX767" s="104" t="n"/>
    </row>
    <row r="768">
      <c r="AP768" s="105" t="n"/>
      <c r="AQ768" s="105" t="n"/>
      <c r="AX768" s="104" t="n"/>
    </row>
    <row r="769">
      <c r="AP769" s="105" t="n"/>
      <c r="AQ769" s="105" t="n"/>
      <c r="AX769" s="104" t="n"/>
    </row>
    <row r="770">
      <c r="AP770" s="105" t="n"/>
      <c r="AQ770" s="105" t="n"/>
      <c r="AX770" s="104" t="n"/>
    </row>
    <row r="771">
      <c r="AP771" s="105" t="n"/>
      <c r="AQ771" s="105" t="n"/>
      <c r="AX771" s="104" t="n"/>
    </row>
    <row r="772">
      <c r="AP772" s="105" t="n"/>
      <c r="AQ772" s="105" t="n"/>
      <c r="AX772" s="104" t="n"/>
    </row>
    <row r="773">
      <c r="AP773" s="105" t="n"/>
      <c r="AQ773" s="105" t="n"/>
      <c r="AX773" s="104" t="n"/>
    </row>
    <row r="774">
      <c r="AP774" s="105" t="n"/>
      <c r="AQ774" s="105" t="n"/>
      <c r="AX774" s="104" t="n"/>
    </row>
    <row r="775">
      <c r="AP775" s="105" t="n"/>
      <c r="AQ775" s="105" t="n"/>
      <c r="AX775" s="104" t="n"/>
    </row>
    <row r="776">
      <c r="AP776" s="105" t="n"/>
      <c r="AQ776" s="105" t="n"/>
      <c r="AX776" s="104" t="n"/>
    </row>
    <row r="777">
      <c r="AP777" s="105" t="n"/>
      <c r="AQ777" s="105" t="n"/>
      <c r="AX777" s="104" t="n"/>
    </row>
    <row r="778">
      <c r="AP778" s="105" t="n"/>
      <c r="AQ778" s="105" t="n"/>
      <c r="AX778" s="104" t="n"/>
    </row>
    <row r="779">
      <c r="AP779" s="105" t="n"/>
      <c r="AQ779" s="105" t="n"/>
      <c r="AX779" s="104" t="n"/>
    </row>
    <row r="780">
      <c r="AP780" s="105" t="n"/>
      <c r="AQ780" s="105" t="n"/>
      <c r="AX780" s="104" t="n"/>
    </row>
    <row r="781">
      <c r="AP781" s="105" t="n"/>
      <c r="AQ781" s="105" t="n"/>
      <c r="AX781" s="104" t="n"/>
    </row>
    <row r="782">
      <c r="AP782" s="105" t="n"/>
      <c r="AQ782" s="105" t="n"/>
      <c r="AX782" s="104" t="n"/>
    </row>
    <row r="783">
      <c r="AP783" s="105" t="n"/>
      <c r="AQ783" s="105" t="n"/>
      <c r="AX783" s="104" t="n"/>
    </row>
    <row r="784">
      <c r="AP784" s="105" t="n"/>
      <c r="AQ784" s="105" t="n"/>
      <c r="AX784" s="104" t="n"/>
    </row>
    <row r="785">
      <c r="AP785" s="105" t="n"/>
      <c r="AQ785" s="105" t="n"/>
      <c r="AX785" s="104" t="n"/>
    </row>
    <row r="786">
      <c r="AP786" s="105" t="n"/>
      <c r="AQ786" s="105" t="n"/>
      <c r="AX786" s="104" t="n"/>
    </row>
    <row r="787">
      <c r="AP787" s="105" t="n"/>
      <c r="AQ787" s="105" t="n"/>
      <c r="AX787" s="104" t="n"/>
    </row>
    <row r="788">
      <c r="AP788" s="105" t="n"/>
      <c r="AQ788" s="105" t="n"/>
      <c r="AX788" s="104" t="n"/>
    </row>
    <row r="789">
      <c r="AP789" s="105" t="n"/>
      <c r="AQ789" s="105" t="n"/>
      <c r="AX789" s="104" t="n"/>
    </row>
    <row r="790">
      <c r="AP790" s="105" t="n"/>
      <c r="AQ790" s="105" t="n"/>
      <c r="AX790" s="104" t="n"/>
    </row>
    <row r="791">
      <c r="AP791" s="105" t="n"/>
      <c r="AQ791" s="105" t="n"/>
      <c r="AX791" s="104" t="n"/>
    </row>
    <row r="792">
      <c r="AP792" s="105" t="n"/>
      <c r="AQ792" s="105" t="n"/>
      <c r="AX792" s="104" t="n"/>
    </row>
    <row r="793">
      <c r="AP793" s="105" t="n"/>
      <c r="AQ793" s="105" t="n"/>
      <c r="AX793" s="104" t="n"/>
    </row>
    <row r="794">
      <c r="AP794" s="105" t="n"/>
      <c r="AQ794" s="105" t="n"/>
      <c r="AX794" s="104" t="n"/>
    </row>
    <row r="795">
      <c r="AP795" s="105" t="n"/>
      <c r="AQ795" s="105" t="n"/>
      <c r="AX795" s="104" t="n"/>
    </row>
    <row r="796">
      <c r="AP796" s="105" t="n"/>
      <c r="AQ796" s="105" t="n"/>
      <c r="AX796" s="104" t="n"/>
    </row>
    <row r="797">
      <c r="AP797" s="105" t="n"/>
      <c r="AQ797" s="105" t="n"/>
      <c r="AX797" s="104" t="n"/>
    </row>
    <row r="798">
      <c r="AP798" s="105" t="n"/>
      <c r="AQ798" s="105" t="n"/>
      <c r="AX798" s="104" t="n"/>
    </row>
    <row r="799">
      <c r="AP799" s="105" t="n"/>
      <c r="AQ799" s="105" t="n"/>
      <c r="AX799" s="104" t="n"/>
    </row>
    <row r="800">
      <c r="AP800" s="105" t="n"/>
      <c r="AQ800" s="105" t="n"/>
      <c r="AX800" s="104" t="n"/>
    </row>
    <row r="801">
      <c r="AP801" s="105" t="n"/>
      <c r="AQ801" s="105" t="n"/>
      <c r="AX801" s="104" t="n"/>
    </row>
    <row r="802">
      <c r="AP802" s="105" t="n"/>
      <c r="AQ802" s="105" t="n"/>
      <c r="AX802" s="104" t="n"/>
    </row>
    <row r="803">
      <c r="AP803" s="105" t="n"/>
      <c r="AQ803" s="105" t="n"/>
      <c r="AX803" s="104" t="n"/>
    </row>
    <row r="804">
      <c r="AP804" s="105" t="n"/>
      <c r="AQ804" s="105" t="n"/>
      <c r="AX804" s="104" t="n"/>
    </row>
    <row r="805">
      <c r="AP805" s="105" t="n"/>
      <c r="AQ805" s="105" t="n"/>
      <c r="AX805" s="104" t="n"/>
    </row>
    <row r="806">
      <c r="AP806" s="105" t="n"/>
      <c r="AQ806" s="105" t="n"/>
      <c r="AX806" s="104" t="n"/>
    </row>
    <row r="807">
      <c r="AP807" s="105" t="n"/>
      <c r="AQ807" s="105" t="n"/>
      <c r="AX807" s="104" t="n"/>
    </row>
    <row r="808">
      <c r="AP808" s="105" t="n"/>
      <c r="AQ808" s="105" t="n"/>
      <c r="AX808" s="104" t="n"/>
    </row>
    <row r="809">
      <c r="AP809" s="105" t="n"/>
      <c r="AQ809" s="105" t="n"/>
      <c r="AX809" s="104" t="n"/>
    </row>
    <row r="810">
      <c r="AP810" s="105" t="n"/>
      <c r="AQ810" s="105" t="n"/>
      <c r="AX810" s="104" t="n"/>
    </row>
    <row r="811">
      <c r="AP811" s="105" t="n"/>
      <c r="AQ811" s="105" t="n"/>
      <c r="AX811" s="104" t="n"/>
    </row>
    <row r="812">
      <c r="AP812" s="105" t="n"/>
      <c r="AQ812" s="105" t="n"/>
      <c r="AX812" s="104" t="n"/>
    </row>
    <row r="813">
      <c r="AP813" s="105" t="n"/>
      <c r="AQ813" s="105" t="n"/>
      <c r="AX813" s="104" t="n"/>
    </row>
    <row r="814">
      <c r="AP814" s="105" t="n"/>
      <c r="AQ814" s="105" t="n"/>
      <c r="AX814" s="104" t="n"/>
    </row>
    <row r="815">
      <c r="AP815" s="105" t="n"/>
      <c r="AQ815" s="105" t="n"/>
      <c r="AX815" s="104" t="n"/>
    </row>
    <row r="816">
      <c r="AP816" s="105" t="n"/>
      <c r="AQ816" s="105" t="n"/>
      <c r="AX816" s="104" t="n"/>
    </row>
    <row r="817">
      <c r="AP817" s="105" t="n"/>
      <c r="AQ817" s="105" t="n"/>
      <c r="AX817" s="104" t="n"/>
    </row>
    <row r="818">
      <c r="AP818" s="105" t="n"/>
      <c r="AQ818" s="105" t="n"/>
      <c r="AX818" s="104" t="n"/>
    </row>
    <row r="819">
      <c r="AP819" s="105" t="n"/>
      <c r="AQ819" s="105" t="n"/>
      <c r="AX819" s="104" t="n"/>
    </row>
    <row r="820">
      <c r="AP820" s="105" t="n"/>
      <c r="AQ820" s="105" t="n"/>
      <c r="AX820" s="104" t="n"/>
    </row>
    <row r="821">
      <c r="AP821" s="105" t="n"/>
      <c r="AQ821" s="105" t="n"/>
      <c r="AX821" s="104" t="n"/>
    </row>
    <row r="822">
      <c r="AP822" s="105" t="n"/>
      <c r="AQ822" s="105" t="n"/>
      <c r="AX822" s="104" t="n"/>
    </row>
    <row r="823">
      <c r="AP823" s="105" t="n"/>
      <c r="AQ823" s="105" t="n"/>
      <c r="AX823" s="104" t="n"/>
    </row>
    <row r="824">
      <c r="AP824" s="105" t="n"/>
      <c r="AQ824" s="105" t="n"/>
      <c r="AX824" s="104" t="n"/>
    </row>
    <row r="825">
      <c r="AP825" s="105" t="n"/>
      <c r="AQ825" s="105" t="n"/>
      <c r="AX825" s="104" t="n"/>
    </row>
    <row r="826">
      <c r="AP826" s="105" t="n"/>
      <c r="AQ826" s="105" t="n"/>
      <c r="AX826" s="104" t="n"/>
    </row>
    <row r="827">
      <c r="AP827" s="105" t="n"/>
      <c r="AQ827" s="105" t="n"/>
      <c r="AX827" s="104" t="n"/>
    </row>
    <row r="828">
      <c r="AP828" s="105" t="n"/>
      <c r="AQ828" s="105" t="n"/>
      <c r="AX828" s="104" t="n"/>
    </row>
    <row r="829">
      <c r="AP829" s="105" t="n"/>
      <c r="AQ829" s="105" t="n"/>
      <c r="AX829" s="104" t="n"/>
    </row>
    <row r="830">
      <c r="AP830" s="105" t="n"/>
      <c r="AQ830" s="105" t="n"/>
      <c r="AX830" s="104" t="n"/>
    </row>
    <row r="831">
      <c r="AP831" s="105" t="n"/>
      <c r="AQ831" s="105" t="n"/>
      <c r="AX831" s="104" t="n"/>
    </row>
    <row r="832">
      <c r="AP832" s="105" t="n"/>
      <c r="AQ832" s="105" t="n"/>
      <c r="AX832" s="104" t="n"/>
    </row>
    <row r="833">
      <c r="AP833" s="105" t="n"/>
      <c r="AQ833" s="105" t="n"/>
      <c r="AX833" s="104" t="n"/>
    </row>
    <row r="834">
      <c r="AP834" s="105" t="n"/>
      <c r="AQ834" s="105" t="n"/>
      <c r="AX834" s="104" t="n"/>
    </row>
    <row r="835">
      <c r="AP835" s="105" t="n"/>
      <c r="AQ835" s="105" t="n"/>
      <c r="AX835" s="104" t="n"/>
    </row>
    <row r="836">
      <c r="AP836" s="105" t="n"/>
      <c r="AQ836" s="105" t="n"/>
      <c r="AX836" s="104" t="n"/>
    </row>
    <row r="837">
      <c r="AP837" s="105" t="n"/>
      <c r="AQ837" s="105" t="n"/>
      <c r="AX837" s="104" t="n"/>
    </row>
    <row r="838">
      <c r="AP838" s="105" t="n"/>
      <c r="AQ838" s="105" t="n"/>
      <c r="AX838" s="104" t="n"/>
    </row>
    <row r="839">
      <c r="AP839" s="105" t="n"/>
      <c r="AQ839" s="105" t="n"/>
      <c r="AX839" s="104" t="n"/>
    </row>
    <row r="840">
      <c r="AP840" s="105" t="n"/>
      <c r="AQ840" s="105" t="n"/>
      <c r="AX840" s="104" t="n"/>
    </row>
    <row r="841">
      <c r="AP841" s="105" t="n"/>
      <c r="AQ841" s="105" t="n"/>
      <c r="AX841" s="104" t="n"/>
    </row>
    <row r="842">
      <c r="AP842" s="105" t="n"/>
      <c r="AQ842" s="105" t="n"/>
      <c r="AX842" s="104" t="n"/>
    </row>
    <row r="843">
      <c r="AP843" s="105" t="n"/>
      <c r="AQ843" s="105" t="n"/>
      <c r="AX843" s="104" t="n"/>
    </row>
    <row r="844">
      <c r="AP844" s="105" t="n"/>
      <c r="AQ844" s="105" t="n"/>
      <c r="AX844" s="104" t="n"/>
    </row>
    <row r="845">
      <c r="AP845" s="105" t="n"/>
      <c r="AQ845" s="105" t="n"/>
      <c r="AX845" s="104" t="n"/>
    </row>
    <row r="846">
      <c r="AP846" s="105" t="n"/>
      <c r="AQ846" s="105" t="n"/>
      <c r="AX846" s="104" t="n"/>
    </row>
    <row r="847">
      <c r="AP847" s="105" t="n"/>
      <c r="AQ847" s="105" t="n"/>
      <c r="AX847" s="104" t="n"/>
    </row>
    <row r="848">
      <c r="AP848" s="105" t="n"/>
      <c r="AQ848" s="105" t="n"/>
      <c r="AX848" s="104" t="n"/>
    </row>
    <row r="849">
      <c r="AP849" s="105" t="n"/>
      <c r="AQ849" s="105" t="n"/>
      <c r="AX849" s="104" t="n"/>
    </row>
    <row r="850">
      <c r="AP850" s="105" t="n"/>
      <c r="AQ850" s="105" t="n"/>
      <c r="AX850" s="104" t="n"/>
    </row>
    <row r="851">
      <c r="AP851" s="105" t="n"/>
      <c r="AQ851" s="105" t="n"/>
      <c r="AX851" s="104" t="n"/>
    </row>
    <row r="852">
      <c r="AP852" s="105" t="n"/>
      <c r="AQ852" s="105" t="n"/>
      <c r="AX852" s="104" t="n"/>
    </row>
    <row r="853">
      <c r="AP853" s="105" t="n"/>
      <c r="AQ853" s="105" t="n"/>
      <c r="AX853" s="104" t="n"/>
    </row>
    <row r="854">
      <c r="AP854" s="105" t="n"/>
      <c r="AQ854" s="105" t="n"/>
      <c r="AX854" s="104" t="n"/>
    </row>
    <row r="855">
      <c r="AP855" s="105" t="n"/>
      <c r="AQ855" s="105" t="n"/>
      <c r="AX855" s="104" t="n"/>
    </row>
    <row r="856">
      <c r="AP856" s="105" t="n"/>
      <c r="AQ856" s="105" t="n"/>
      <c r="AX856" s="104" t="n"/>
    </row>
    <row r="857">
      <c r="AP857" s="105" t="n"/>
      <c r="AQ857" s="105" t="n"/>
      <c r="AX857" s="104" t="n"/>
    </row>
    <row r="858">
      <c r="AP858" s="105" t="n"/>
      <c r="AQ858" s="105" t="n"/>
      <c r="AX858" s="104" t="n"/>
    </row>
    <row r="859">
      <c r="AP859" s="105" t="n"/>
      <c r="AQ859" s="105" t="n"/>
      <c r="AX859" s="104" t="n"/>
    </row>
    <row r="860">
      <c r="AP860" s="105" t="n"/>
      <c r="AQ860" s="105" t="n"/>
      <c r="AX860" s="104" t="n"/>
    </row>
    <row r="861">
      <c r="AP861" s="105" t="n"/>
      <c r="AQ861" s="105" t="n"/>
      <c r="AX861" s="104" t="n"/>
    </row>
    <row r="862">
      <c r="AP862" s="105" t="n"/>
      <c r="AQ862" s="105" t="n"/>
      <c r="AX862" s="104" t="n"/>
    </row>
    <row r="863">
      <c r="AP863" s="105" t="n"/>
      <c r="AQ863" s="105" t="n"/>
      <c r="AX863" s="104" t="n"/>
    </row>
    <row r="864">
      <c r="AP864" s="105" t="n"/>
      <c r="AQ864" s="105" t="n"/>
      <c r="AX864" s="104" t="n"/>
    </row>
    <row r="865">
      <c r="AP865" s="105" t="n"/>
      <c r="AQ865" s="105" t="n"/>
      <c r="AX865" s="104" t="n"/>
    </row>
    <row r="866">
      <c r="AP866" s="105" t="n"/>
      <c r="AQ866" s="105" t="n"/>
      <c r="AX866" s="104" t="n"/>
    </row>
    <row r="867">
      <c r="AP867" s="105" t="n"/>
      <c r="AQ867" s="105" t="n"/>
      <c r="AX867" s="104" t="n"/>
    </row>
    <row r="868">
      <c r="AP868" s="105" t="n"/>
      <c r="AQ868" s="105" t="n"/>
      <c r="AX868" s="104" t="n"/>
    </row>
    <row r="869">
      <c r="AP869" s="105" t="n"/>
      <c r="AQ869" s="105" t="n"/>
      <c r="AX869" s="104" t="n"/>
    </row>
    <row r="870">
      <c r="AP870" s="105" t="n"/>
      <c r="AQ870" s="105" t="n"/>
      <c r="AX870" s="104" t="n"/>
    </row>
    <row r="871">
      <c r="AP871" s="105" t="n"/>
      <c r="AQ871" s="105" t="n"/>
      <c r="AX871" s="104" t="n"/>
    </row>
    <row r="872">
      <c r="AP872" s="105" t="n"/>
      <c r="AQ872" s="105" t="n"/>
      <c r="AX872" s="104" t="n"/>
    </row>
    <row r="873">
      <c r="AP873" s="105" t="n"/>
      <c r="AQ873" s="105" t="n"/>
      <c r="AX873" s="104" t="n"/>
    </row>
    <row r="874">
      <c r="AP874" s="105" t="n"/>
      <c r="AQ874" s="105" t="n"/>
      <c r="AX874" s="104" t="n"/>
    </row>
    <row r="875">
      <c r="AP875" s="105" t="n"/>
      <c r="AQ875" s="105" t="n"/>
      <c r="AX875" s="104" t="n"/>
    </row>
    <row r="876">
      <c r="AP876" s="105" t="n"/>
      <c r="AQ876" s="105" t="n"/>
      <c r="AX876" s="104" t="n"/>
    </row>
    <row r="877">
      <c r="AP877" s="105" t="n"/>
      <c r="AQ877" s="105" t="n"/>
      <c r="AX877" s="104" t="n"/>
    </row>
    <row r="878">
      <c r="AP878" s="105" t="n"/>
      <c r="AQ878" s="105" t="n"/>
      <c r="AX878" s="104" t="n"/>
    </row>
    <row r="879">
      <c r="AP879" s="105" t="n"/>
      <c r="AQ879" s="105" t="n"/>
      <c r="AX879" s="104" t="n"/>
    </row>
    <row r="880">
      <c r="AP880" s="105" t="n"/>
      <c r="AQ880" s="105" t="n"/>
      <c r="AX880" s="104" t="n"/>
    </row>
    <row r="881">
      <c r="AP881" s="105" t="n"/>
      <c r="AQ881" s="105" t="n"/>
      <c r="AX881" s="104" t="n"/>
    </row>
    <row r="882">
      <c r="AP882" s="105" t="n"/>
      <c r="AQ882" s="105" t="n"/>
      <c r="AX882" s="104" t="n"/>
    </row>
    <row r="883">
      <c r="AP883" s="105" t="n"/>
      <c r="AQ883" s="105" t="n"/>
      <c r="AX883" s="104" t="n"/>
    </row>
    <row r="884">
      <c r="AP884" s="105" t="n"/>
      <c r="AQ884" s="105" t="n"/>
      <c r="AX884" s="104" t="n"/>
    </row>
    <row r="885">
      <c r="AP885" s="105" t="n"/>
      <c r="AQ885" s="105" t="n"/>
      <c r="AX885" s="104" t="n"/>
    </row>
    <row r="886">
      <c r="AP886" s="105" t="n"/>
      <c r="AQ886" s="105" t="n"/>
      <c r="AX886" s="104" t="n"/>
    </row>
    <row r="887">
      <c r="AP887" s="105" t="n"/>
      <c r="AQ887" s="105" t="n"/>
      <c r="AX887" s="104" t="n"/>
    </row>
    <row r="888">
      <c r="AP888" s="105" t="n"/>
      <c r="AQ888" s="105" t="n"/>
      <c r="AX888" s="104" t="n"/>
    </row>
    <row r="889">
      <c r="AP889" s="105" t="n"/>
      <c r="AQ889" s="105" t="n"/>
      <c r="AX889" s="104" t="n"/>
    </row>
    <row r="890">
      <c r="AP890" s="105" t="n"/>
      <c r="AQ890" s="105" t="n"/>
      <c r="AX890" s="104" t="n"/>
    </row>
    <row r="891">
      <c r="AP891" s="105" t="n"/>
      <c r="AQ891" s="105" t="n"/>
      <c r="AX891" s="104" t="n"/>
    </row>
    <row r="892">
      <c r="AP892" s="105" t="n"/>
      <c r="AQ892" s="105" t="n"/>
      <c r="AX892" s="104" t="n"/>
    </row>
    <row r="893">
      <c r="AP893" s="105" t="n"/>
      <c r="AQ893" s="105" t="n"/>
      <c r="AX893" s="104" t="n"/>
    </row>
    <row r="894">
      <c r="AP894" s="105" t="n"/>
      <c r="AQ894" s="105" t="n"/>
      <c r="AX894" s="104" t="n"/>
    </row>
    <row r="895">
      <c r="AP895" s="105" t="n"/>
      <c r="AQ895" s="105" t="n"/>
      <c r="AX895" s="104" t="n"/>
    </row>
    <row r="896">
      <c r="AP896" s="105" t="n"/>
      <c r="AQ896" s="105" t="n"/>
      <c r="AX896" s="104" t="n"/>
    </row>
    <row r="897">
      <c r="AP897" s="105" t="n"/>
      <c r="AQ897" s="105" t="n"/>
      <c r="AX897" s="104" t="n"/>
    </row>
    <row r="898">
      <c r="AP898" s="105" t="n"/>
      <c r="AQ898" s="105" t="n"/>
      <c r="AX898" s="104" t="n"/>
    </row>
    <row r="899">
      <c r="AP899" s="105" t="n"/>
      <c r="AQ899" s="105" t="n"/>
      <c r="AX899" s="104" t="n"/>
    </row>
    <row r="900">
      <c r="AP900" s="105" t="n"/>
      <c r="AQ900" s="105" t="n"/>
      <c r="AX900" s="104" t="n"/>
    </row>
    <row r="901">
      <c r="AP901" s="105" t="n"/>
      <c r="AQ901" s="105" t="n"/>
      <c r="AX901" s="104" t="n"/>
    </row>
    <row r="902">
      <c r="AP902" s="105" t="n"/>
      <c r="AQ902" s="105" t="n"/>
      <c r="AX902" s="104" t="n"/>
    </row>
    <row r="903">
      <c r="AP903" s="105" t="n"/>
      <c r="AQ903" s="105" t="n"/>
      <c r="AX903" s="104" t="n"/>
    </row>
    <row r="904">
      <c r="AP904" s="105" t="n"/>
      <c r="AQ904" s="105" t="n"/>
      <c r="AX904" s="104" t="n"/>
    </row>
    <row r="905">
      <c r="AP905" s="105" t="n"/>
      <c r="AQ905" s="105" t="n"/>
      <c r="AX905" s="104" t="n"/>
    </row>
    <row r="906">
      <c r="AP906" s="105" t="n"/>
      <c r="AQ906" s="105" t="n"/>
      <c r="AX906" s="104" t="n"/>
    </row>
    <row r="907">
      <c r="AP907" s="105" t="n"/>
      <c r="AQ907" s="105" t="n"/>
      <c r="AX907" s="104" t="n"/>
    </row>
    <row r="908">
      <c r="AP908" s="105" t="n"/>
      <c r="AQ908" s="105" t="n"/>
      <c r="AX908" s="104" t="n"/>
    </row>
    <row r="909">
      <c r="AP909" s="105" t="n"/>
      <c r="AQ909" s="105" t="n"/>
      <c r="AX909" s="104" t="n"/>
    </row>
    <row r="910">
      <c r="AP910" s="105" t="n"/>
      <c r="AQ910" s="105" t="n"/>
      <c r="AX910" s="104" t="n"/>
    </row>
    <row r="911">
      <c r="AP911" s="105" t="n"/>
      <c r="AQ911" s="105" t="n"/>
      <c r="AX911" s="104" t="n"/>
    </row>
    <row r="912">
      <c r="AP912" s="105" t="n"/>
      <c r="AQ912" s="105" t="n"/>
      <c r="AX912" s="104" t="n"/>
    </row>
    <row r="913">
      <c r="AP913" s="105" t="n"/>
      <c r="AQ913" s="105" t="n"/>
      <c r="AX913" s="104" t="n"/>
    </row>
    <row r="914">
      <c r="AP914" s="105" t="n"/>
      <c r="AQ914" s="105" t="n"/>
      <c r="AX914" s="104" t="n"/>
    </row>
    <row r="915">
      <c r="AP915" s="105" t="n"/>
      <c r="AQ915" s="105" t="n"/>
      <c r="AX915" s="104" t="n"/>
    </row>
    <row r="916">
      <c r="AP916" s="105" t="n"/>
      <c r="AQ916" s="105" t="n"/>
      <c r="AX916" s="104" t="n"/>
    </row>
    <row r="917">
      <c r="AP917" s="105" t="n"/>
      <c r="AQ917" s="105" t="n"/>
      <c r="AX917" s="104" t="n"/>
    </row>
    <row r="918">
      <c r="AP918" s="105" t="n"/>
      <c r="AQ918" s="105" t="n"/>
      <c r="AX918" s="104" t="n"/>
    </row>
    <row r="919">
      <c r="AP919" s="105" t="n"/>
      <c r="AQ919" s="105" t="n"/>
      <c r="AX919" s="104" t="n"/>
    </row>
    <row r="920">
      <c r="AP920" s="105" t="n"/>
      <c r="AQ920" s="105" t="n"/>
      <c r="AX920" s="104" t="n"/>
    </row>
    <row r="921">
      <c r="AP921" s="105" t="n"/>
      <c r="AQ921" s="105" t="n"/>
      <c r="AX921" s="104" t="n"/>
    </row>
    <row r="922">
      <c r="AP922" s="105" t="n"/>
      <c r="AQ922" s="105" t="n"/>
      <c r="AX922" s="104" t="n"/>
    </row>
    <row r="923">
      <c r="AP923" s="105" t="n"/>
      <c r="AQ923" s="105" t="n"/>
      <c r="AX923" s="104" t="n"/>
    </row>
    <row r="924">
      <c r="AP924" s="105" t="n"/>
      <c r="AQ924" s="105" t="n"/>
      <c r="AX924" s="104" t="n"/>
    </row>
    <row r="925">
      <c r="AP925" s="105" t="n"/>
      <c r="AQ925" s="105" t="n"/>
      <c r="AX925" s="104" t="n"/>
    </row>
    <row r="926">
      <c r="AP926" s="105" t="n"/>
      <c r="AQ926" s="105" t="n"/>
      <c r="AX926" s="104" t="n"/>
    </row>
    <row r="927">
      <c r="AP927" s="105" t="n"/>
      <c r="AQ927" s="105" t="n"/>
      <c r="AX927" s="104" t="n"/>
    </row>
    <row r="928">
      <c r="AP928" s="105" t="n"/>
      <c r="AQ928" s="105" t="n"/>
      <c r="AX928" s="104" t="n"/>
    </row>
    <row r="929">
      <c r="AP929" s="105" t="n"/>
      <c r="AQ929" s="105" t="n"/>
      <c r="AX929" s="104" t="n"/>
    </row>
    <row r="930">
      <c r="AP930" s="105" t="n"/>
      <c r="AQ930" s="105" t="n"/>
      <c r="AX930" s="104" t="n"/>
    </row>
    <row r="931">
      <c r="AP931" s="105" t="n"/>
      <c r="AQ931" s="105" t="n"/>
      <c r="AX931" s="104" t="n"/>
    </row>
    <row r="932">
      <c r="AP932" s="105" t="n"/>
      <c r="AQ932" s="105" t="n"/>
      <c r="AX932" s="104" t="n"/>
    </row>
    <row r="933">
      <c r="AP933" s="105" t="n"/>
      <c r="AQ933" s="105" t="n"/>
      <c r="AX933" s="104" t="n"/>
    </row>
    <row r="934">
      <c r="AP934" s="105" t="n"/>
      <c r="AQ934" s="105" t="n"/>
      <c r="AX934" s="104" t="n"/>
    </row>
    <row r="935">
      <c r="AP935" s="105" t="n"/>
      <c r="AQ935" s="105" t="n"/>
      <c r="AX935" s="104" t="n"/>
    </row>
    <row r="936">
      <c r="AP936" s="105" t="n"/>
      <c r="AQ936" s="105" t="n"/>
      <c r="AX936" s="104" t="n"/>
    </row>
    <row r="937">
      <c r="AP937" s="105" t="n"/>
      <c r="AQ937" s="105" t="n"/>
      <c r="AX937" s="104" t="n"/>
    </row>
    <row r="938">
      <c r="AP938" s="105" t="n"/>
      <c r="AQ938" s="105" t="n"/>
      <c r="AX938" s="104" t="n"/>
    </row>
    <row r="939">
      <c r="AP939" s="105" t="n"/>
      <c r="AQ939" s="105" t="n"/>
      <c r="AX939" s="104" t="n"/>
    </row>
    <row r="940">
      <c r="AP940" s="105" t="n"/>
      <c r="AQ940" s="105" t="n"/>
      <c r="AX940" s="104" t="n"/>
    </row>
    <row r="941">
      <c r="AP941" s="105" t="n"/>
      <c r="AQ941" s="105" t="n"/>
      <c r="AX941" s="104" t="n"/>
    </row>
    <row r="942">
      <c r="AP942" s="105" t="n"/>
      <c r="AQ942" s="105" t="n"/>
      <c r="AX942" s="104" t="n"/>
    </row>
    <row r="943">
      <c r="AP943" s="105" t="n"/>
      <c r="AQ943" s="105" t="n"/>
      <c r="AX943" s="104" t="n"/>
    </row>
    <row r="944">
      <c r="AP944" s="105" t="n"/>
      <c r="AQ944" s="105" t="n"/>
      <c r="AX944" s="104" t="n"/>
    </row>
    <row r="945">
      <c r="AP945" s="105" t="n"/>
      <c r="AQ945" s="105" t="n"/>
      <c r="AX945" s="104" t="n"/>
    </row>
    <row r="946">
      <c r="AP946" s="105" t="n"/>
      <c r="AQ946" s="105" t="n"/>
      <c r="AX946" s="104" t="n"/>
    </row>
    <row r="947">
      <c r="AP947" s="105" t="n"/>
      <c r="AQ947" s="105" t="n"/>
      <c r="AX947" s="104" t="n"/>
    </row>
    <row r="948">
      <c r="AP948" s="105" t="n"/>
      <c r="AQ948" s="105" t="n"/>
      <c r="AX948" s="104" t="n"/>
    </row>
    <row r="949">
      <c r="AP949" s="105" t="n"/>
      <c r="AQ949" s="105" t="n"/>
      <c r="AX949" s="104" t="n"/>
    </row>
    <row r="950">
      <c r="AP950" s="105" t="n"/>
      <c r="AQ950" s="105" t="n"/>
      <c r="AX950" s="104" t="n"/>
    </row>
    <row r="951">
      <c r="AP951" s="105" t="n"/>
      <c r="AQ951" s="105" t="n"/>
      <c r="AX951" s="104" t="n"/>
    </row>
    <row r="952">
      <c r="AP952" s="105" t="n"/>
      <c r="AQ952" s="105" t="n"/>
      <c r="AX952" s="104" t="n"/>
    </row>
    <row r="953">
      <c r="AP953" s="105" t="n"/>
      <c r="AQ953" s="105" t="n"/>
      <c r="AX953" s="104" t="n"/>
    </row>
    <row r="954">
      <c r="AP954" s="105" t="n"/>
      <c r="AQ954" s="105" t="n"/>
      <c r="AX954" s="104" t="n"/>
    </row>
    <row r="955">
      <c r="AP955" s="105" t="n"/>
      <c r="AQ955" s="105" t="n"/>
      <c r="AX955" s="104" t="n"/>
    </row>
    <row r="956">
      <c r="AP956" s="105" t="n"/>
      <c r="AQ956" s="105" t="n"/>
      <c r="AX956" s="104" t="n"/>
    </row>
    <row r="957">
      <c r="AP957" s="105" t="n"/>
      <c r="AQ957" s="105" t="n"/>
      <c r="AX957" s="104" t="n"/>
    </row>
    <row r="958">
      <c r="AP958" s="105" t="n"/>
      <c r="AQ958" s="105" t="n"/>
      <c r="AX958" s="104" t="n"/>
    </row>
    <row r="959">
      <c r="AP959" s="105" t="n"/>
      <c r="AQ959" s="105" t="n"/>
      <c r="AX959" s="104" t="n"/>
    </row>
    <row r="960">
      <c r="AP960" s="105" t="n"/>
      <c r="AQ960" s="105" t="n"/>
      <c r="AX960" s="104" t="n"/>
    </row>
    <row r="961">
      <c r="AP961" s="105" t="n"/>
      <c r="AQ961" s="105" t="n"/>
      <c r="AX961" s="104" t="n"/>
    </row>
    <row r="962">
      <c r="AP962" s="105" t="n"/>
      <c r="AQ962" s="105" t="n"/>
      <c r="AX962" s="104" t="n"/>
    </row>
    <row r="963">
      <c r="AP963" s="105" t="n"/>
      <c r="AQ963" s="105" t="n"/>
      <c r="AX963" s="104" t="n"/>
    </row>
    <row r="964">
      <c r="AP964" s="105" t="n"/>
      <c r="AQ964" s="105" t="n"/>
      <c r="AX964" s="104" t="n"/>
    </row>
    <row r="965">
      <c r="AP965" s="105" t="n"/>
      <c r="AQ965" s="105" t="n"/>
      <c r="AX965" s="104" t="n"/>
    </row>
    <row r="966">
      <c r="AP966" s="105" t="n"/>
      <c r="AQ966" s="105" t="n"/>
      <c r="AX966" s="104" t="n"/>
    </row>
    <row r="967">
      <c r="AP967" s="105" t="n"/>
      <c r="AQ967" s="105" t="n"/>
      <c r="AX967" s="104" t="n"/>
    </row>
    <row r="968">
      <c r="AP968" s="105" t="n"/>
      <c r="AQ968" s="105" t="n"/>
      <c r="AX968" s="104" t="n"/>
    </row>
    <row r="969">
      <c r="AP969" s="105" t="n"/>
      <c r="AQ969" s="105" t="n"/>
      <c r="AX969" s="104" t="n"/>
    </row>
    <row r="970">
      <c r="AP970" s="105" t="n"/>
      <c r="AQ970" s="105" t="n"/>
      <c r="AX970" s="104" t="n"/>
    </row>
    <row r="971">
      <c r="AP971" s="105" t="n"/>
      <c r="AQ971" s="105" t="n"/>
      <c r="AX971" s="104" t="n"/>
    </row>
    <row r="972">
      <c r="AP972" s="105" t="n"/>
      <c r="AQ972" s="105" t="n"/>
      <c r="AX972" s="104" t="n"/>
    </row>
    <row r="973">
      <c r="AP973" s="105" t="n"/>
      <c r="AQ973" s="105" t="n"/>
      <c r="AX973" s="104" t="n"/>
    </row>
    <row r="974">
      <c r="AP974" s="105" t="n"/>
      <c r="AQ974" s="105" t="n"/>
      <c r="AX974" s="104" t="n"/>
    </row>
    <row r="975">
      <c r="AP975" s="105" t="n"/>
      <c r="AQ975" s="105" t="n"/>
      <c r="AX975" s="104" t="n"/>
    </row>
    <row r="976">
      <c r="AP976" s="105" t="n"/>
      <c r="AQ976" s="105" t="n"/>
      <c r="AX976" s="104" t="n"/>
    </row>
    <row r="977">
      <c r="AP977" s="105" t="n"/>
      <c r="AQ977" s="105" t="n"/>
      <c r="AX977" s="104" t="n"/>
    </row>
    <row r="978">
      <c r="AP978" s="105" t="n"/>
      <c r="AQ978" s="105" t="n"/>
      <c r="AX978" s="104" t="n"/>
    </row>
    <row r="979">
      <c r="AP979" s="105" t="n"/>
      <c r="AQ979" s="105" t="n"/>
      <c r="AX979" s="104" t="n"/>
    </row>
    <row r="980">
      <c r="AP980" s="105" t="n"/>
      <c r="AQ980" s="105" t="n"/>
      <c r="AX980" s="104" t="n"/>
    </row>
    <row r="981">
      <c r="AP981" s="105" t="n"/>
      <c r="AQ981" s="105" t="n"/>
      <c r="AX981" s="104" t="n"/>
    </row>
    <row r="982">
      <c r="AP982" s="105" t="n"/>
      <c r="AQ982" s="105" t="n"/>
      <c r="AX982" s="104" t="n"/>
    </row>
    <row r="983">
      <c r="AP983" s="105" t="n"/>
      <c r="AQ983" s="105" t="n"/>
      <c r="AX983" s="104" t="n"/>
    </row>
    <row r="984">
      <c r="AP984" s="105" t="n"/>
      <c r="AQ984" s="105" t="n"/>
      <c r="AX984" s="104" t="n"/>
    </row>
    <row r="985">
      <c r="AP985" s="105" t="n"/>
      <c r="AQ985" s="105" t="n"/>
      <c r="AX985" s="104" t="n"/>
    </row>
    <row r="986">
      <c r="AP986" s="105" t="n"/>
      <c r="AQ986" s="105" t="n"/>
      <c r="AX986" s="104" t="n"/>
    </row>
    <row r="987">
      <c r="AP987" s="105" t="n"/>
      <c r="AQ987" s="105" t="n"/>
      <c r="AX987" s="104" t="n"/>
    </row>
    <row r="988">
      <c r="AP988" s="105" t="n"/>
      <c r="AQ988" s="105" t="n"/>
      <c r="AX988" s="104" t="n"/>
    </row>
    <row r="989">
      <c r="AP989" s="105" t="n"/>
      <c r="AQ989" s="105" t="n"/>
      <c r="AX989" s="104" t="n"/>
    </row>
    <row r="990">
      <c r="AP990" s="105" t="n"/>
      <c r="AQ990" s="105" t="n"/>
      <c r="AX990" s="104" t="n"/>
    </row>
    <row r="991">
      <c r="AP991" s="105" t="n"/>
      <c r="AQ991" s="105" t="n"/>
      <c r="AX991" s="104" t="n"/>
    </row>
    <row r="992">
      <c r="AP992" s="105" t="n"/>
      <c r="AQ992" s="105" t="n"/>
      <c r="AX992" s="104" t="n"/>
    </row>
    <row r="993">
      <c r="AP993" s="105" t="n"/>
      <c r="AQ993" s="105" t="n"/>
      <c r="AX993" s="104" t="n"/>
    </row>
    <row r="994">
      <c r="AP994" s="105" t="n"/>
      <c r="AQ994" s="105" t="n"/>
      <c r="AX994" s="104" t="n"/>
    </row>
    <row r="995">
      <c r="AP995" s="105" t="n"/>
      <c r="AQ995" s="105" t="n"/>
      <c r="AX995" s="104" t="n"/>
    </row>
    <row r="996">
      <c r="AP996" s="105" t="n"/>
      <c r="AQ996" s="105" t="n"/>
      <c r="AX996" s="104" t="n"/>
    </row>
    <row r="997">
      <c r="AP997" s="105" t="n"/>
      <c r="AQ997" s="105" t="n"/>
      <c r="AX997" s="104" t="n"/>
    </row>
    <row r="998">
      <c r="AP998" s="105" t="n"/>
      <c r="AQ998" s="105" t="n"/>
      <c r="AX998" s="104" t="n"/>
    </row>
    <row r="999">
      <c r="AP999" s="105" t="n"/>
      <c r="AQ999" s="105" t="n"/>
      <c r="AX999" s="104" t="n"/>
    </row>
    <row r="1000">
      <c r="AP1000" s="105" t="n"/>
      <c r="AQ1000" s="105" t="n"/>
      <c r="AX1000" s="104" t="n"/>
    </row>
    <row r="1001">
      <c r="AP1001" s="105" t="n"/>
      <c r="AQ1001" s="105" t="n"/>
      <c r="AX1001" s="104" t="n"/>
    </row>
    <row r="1002">
      <c r="AP1002" s="105" t="n"/>
      <c r="AQ1002" s="105" t="n"/>
      <c r="AX1002" s="104" t="n"/>
    </row>
    <row r="1003">
      <c r="AP1003" s="105" t="n"/>
      <c r="AQ1003" s="105" t="n"/>
      <c r="AX1003" s="104" t="n"/>
    </row>
    <row r="1004">
      <c r="AP1004" s="105" t="n"/>
      <c r="AQ1004" s="105" t="n"/>
      <c r="AX1004" s="104" t="n"/>
    </row>
    <row r="1005">
      <c r="AP1005" s="105" t="n"/>
      <c r="AQ1005" s="105" t="n"/>
      <c r="AX1005" s="104" t="n"/>
    </row>
    <row r="1006">
      <c r="AP1006" s="105" t="n"/>
      <c r="AQ1006" s="105" t="n"/>
      <c r="AX1006" s="104" t="n"/>
    </row>
    <row r="1007">
      <c r="AP1007" s="105" t="n"/>
      <c r="AQ1007" s="105" t="n"/>
      <c r="AX1007" s="104" t="n"/>
    </row>
    <row r="1008">
      <c r="AP1008" s="105" t="n"/>
      <c r="AQ1008" s="105" t="n"/>
      <c r="AX1008" s="104" t="n"/>
    </row>
    <row r="1009">
      <c r="AP1009" s="105" t="n"/>
      <c r="AQ1009" s="105" t="n"/>
      <c r="AX1009" s="104" t="n"/>
    </row>
    <row r="1010">
      <c r="AP1010" s="105" t="n"/>
      <c r="AQ1010" s="105" t="n"/>
      <c r="AX1010" s="104" t="n"/>
    </row>
    <row r="1011">
      <c r="AP1011" s="105" t="n"/>
      <c r="AQ1011" s="105" t="n"/>
      <c r="AX1011" s="104" t="n"/>
    </row>
    <row r="1012">
      <c r="AP1012" s="105" t="n"/>
      <c r="AQ1012" s="105" t="n"/>
      <c r="AX1012" s="104" t="n"/>
    </row>
    <row r="1013">
      <c r="AP1013" s="105" t="n"/>
      <c r="AQ1013" s="105" t="n"/>
      <c r="AX1013" s="104" t="n"/>
    </row>
    <row r="1014">
      <c r="AP1014" s="105" t="n"/>
      <c r="AQ1014" s="105" t="n"/>
      <c r="AX1014" s="104" t="n"/>
    </row>
    <row r="1015">
      <c r="AP1015" s="105" t="n"/>
      <c r="AQ1015" s="105" t="n"/>
      <c r="AX1015" s="104" t="n"/>
    </row>
    <row r="1016">
      <c r="AP1016" s="105" t="n"/>
      <c r="AQ1016" s="105" t="n"/>
      <c r="AX1016" s="104" t="n"/>
    </row>
    <row r="1017">
      <c r="AP1017" s="105" t="n"/>
      <c r="AQ1017" s="105" t="n"/>
      <c r="AX1017" s="104" t="n"/>
    </row>
    <row r="1018">
      <c r="AP1018" s="105" t="n"/>
      <c r="AQ1018" s="105" t="n"/>
      <c r="AX1018" s="104" t="n"/>
    </row>
    <row r="1019">
      <c r="AP1019" s="105" t="n"/>
      <c r="AQ1019" s="105" t="n"/>
      <c r="AX1019" s="104" t="n"/>
    </row>
    <row r="1020">
      <c r="AP1020" s="105" t="n"/>
      <c r="AQ1020" s="105" t="n"/>
      <c r="AX1020" s="104" t="n"/>
    </row>
    <row r="1021">
      <c r="AP1021" s="105" t="n"/>
      <c r="AQ1021" s="105" t="n"/>
      <c r="AX1021" s="104" t="n"/>
    </row>
    <row r="1022">
      <c r="AP1022" s="105" t="n"/>
      <c r="AQ1022" s="105" t="n"/>
      <c r="AX1022" s="104" t="n"/>
    </row>
    <row r="1023">
      <c r="AP1023" s="105" t="n"/>
      <c r="AQ1023" s="105" t="n"/>
      <c r="AX1023" s="104" t="n"/>
    </row>
    <row r="1024">
      <c r="AP1024" s="105" t="n"/>
      <c r="AQ1024" s="105" t="n"/>
      <c r="AX1024" s="104" t="n"/>
    </row>
    <row r="1025">
      <c r="AP1025" s="105" t="n"/>
      <c r="AQ1025" s="105" t="n"/>
      <c r="AX1025" s="104" t="n"/>
    </row>
    <row r="1026">
      <c r="AP1026" s="105" t="n"/>
      <c r="AQ1026" s="105" t="n"/>
      <c r="AX1026" s="104" t="n"/>
    </row>
    <row r="1027">
      <c r="AP1027" s="105" t="n"/>
      <c r="AQ1027" s="105" t="n"/>
      <c r="AX1027" s="104" t="n"/>
    </row>
    <row r="1028">
      <c r="AP1028" s="105" t="n"/>
      <c r="AQ1028" s="105" t="n"/>
      <c r="AX1028" s="104" t="n"/>
    </row>
    <row r="1029">
      <c r="AP1029" s="105" t="n"/>
      <c r="AQ1029" s="105" t="n"/>
      <c r="AX1029" s="104" t="n"/>
    </row>
    <row r="1030">
      <c r="AP1030" s="105" t="n"/>
      <c r="AQ1030" s="105" t="n"/>
      <c r="AX1030" s="104" t="n"/>
    </row>
    <row r="1031">
      <c r="AP1031" s="105" t="n"/>
      <c r="AQ1031" s="105" t="n"/>
      <c r="AX1031" s="104" t="n"/>
    </row>
    <row r="1032">
      <c r="AP1032" s="105" t="n"/>
      <c r="AQ1032" s="105" t="n"/>
      <c r="AX1032" s="104" t="n"/>
    </row>
    <row r="1033">
      <c r="AP1033" s="105" t="n"/>
      <c r="AQ1033" s="105" t="n"/>
      <c r="AX1033" s="104" t="n"/>
    </row>
    <row r="1034">
      <c r="AP1034" s="105" t="n"/>
      <c r="AQ1034" s="105" t="n"/>
      <c r="AX1034" s="104" t="n"/>
    </row>
    <row r="1035">
      <c r="AP1035" s="105" t="n"/>
      <c r="AQ1035" s="105" t="n"/>
      <c r="AX1035" s="104" t="n"/>
    </row>
    <row r="1036">
      <c r="AP1036" s="105" t="n"/>
      <c r="AQ1036" s="105" t="n"/>
      <c r="AX1036" s="104" t="n"/>
    </row>
    <row r="1037">
      <c r="AP1037" s="105" t="n"/>
      <c r="AQ1037" s="105" t="n"/>
      <c r="AX1037" s="104" t="n"/>
    </row>
    <row r="1038">
      <c r="AP1038" s="105" t="n"/>
      <c r="AQ1038" s="105" t="n"/>
      <c r="AX1038" s="104" t="n"/>
    </row>
    <row r="1039">
      <c r="AP1039" s="105" t="n"/>
      <c r="AQ1039" s="105" t="n"/>
      <c r="AX1039" s="104" t="n"/>
    </row>
    <row r="1040">
      <c r="AP1040" s="105" t="n"/>
      <c r="AQ1040" s="105" t="n"/>
      <c r="AX1040" s="104" t="n"/>
    </row>
    <row r="1041">
      <c r="AP1041" s="105" t="n"/>
      <c r="AQ1041" s="105" t="n"/>
      <c r="AX1041" s="104" t="n"/>
    </row>
    <row r="1042">
      <c r="AP1042" s="105" t="n"/>
      <c r="AQ1042" s="105" t="n"/>
      <c r="AX1042" s="104" t="n"/>
    </row>
    <row r="1043">
      <c r="AP1043" s="105" t="n"/>
      <c r="AQ1043" s="105" t="n"/>
      <c r="AX1043" s="104" t="n"/>
    </row>
    <row r="1044">
      <c r="AP1044" s="105" t="n"/>
      <c r="AQ1044" s="105" t="n"/>
      <c r="AX1044" s="104" t="n"/>
    </row>
    <row r="1045">
      <c r="AP1045" s="105" t="n"/>
      <c r="AQ1045" s="105" t="n"/>
      <c r="AX1045" s="104" t="n"/>
    </row>
    <row r="1046">
      <c r="AP1046" s="105" t="n"/>
      <c r="AQ1046" s="105" t="n"/>
      <c r="AX1046" s="104" t="n"/>
    </row>
    <row r="1047">
      <c r="AP1047" s="105" t="n"/>
      <c r="AQ1047" s="105" t="n"/>
      <c r="AX1047" s="104" t="n"/>
    </row>
    <row r="1048">
      <c r="AP1048" s="105" t="n"/>
      <c r="AQ1048" s="105" t="n"/>
      <c r="AX1048" s="104" t="n"/>
    </row>
    <row r="1049">
      <c r="AP1049" s="105" t="n"/>
      <c r="AQ1049" s="105" t="n"/>
      <c r="AX1049" s="104" t="n"/>
    </row>
    <row r="1050">
      <c r="AP1050" s="105" t="n"/>
      <c r="AQ1050" s="105" t="n"/>
      <c r="AX1050" s="104" t="n"/>
    </row>
    <row r="1051">
      <c r="AP1051" s="105" t="n"/>
      <c r="AQ1051" s="105" t="n"/>
      <c r="AX1051" s="104" t="n"/>
    </row>
    <row r="1052">
      <c r="AP1052" s="105" t="n"/>
      <c r="AQ1052" s="105" t="n"/>
      <c r="AX1052" s="104" t="n"/>
    </row>
    <row r="1053">
      <c r="AP1053" s="105" t="n"/>
      <c r="AQ1053" s="105" t="n"/>
      <c r="AX1053" s="104" t="n"/>
    </row>
    <row r="1054">
      <c r="AP1054" s="105" t="n"/>
      <c r="AQ1054" s="105" t="n"/>
      <c r="AX1054" s="104" t="n"/>
    </row>
    <row r="1055">
      <c r="AP1055" s="105" t="n"/>
      <c r="AQ1055" s="105" t="n"/>
      <c r="AX1055" s="104" t="n"/>
    </row>
    <row r="1056">
      <c r="AP1056" s="105" t="n"/>
      <c r="AQ1056" s="105" t="n"/>
      <c r="AX1056" s="104" t="n"/>
    </row>
    <row r="1057">
      <c r="AP1057" s="105" t="n"/>
      <c r="AQ1057" s="105" t="n"/>
      <c r="AX1057" s="104" t="n"/>
    </row>
    <row r="1058">
      <c r="AP1058" s="105" t="n"/>
      <c r="AQ1058" s="105" t="n"/>
      <c r="AX1058" s="104" t="n"/>
    </row>
    <row r="1059">
      <c r="AP1059" s="105" t="n"/>
      <c r="AQ1059" s="105" t="n"/>
      <c r="AX1059" s="104" t="n"/>
    </row>
    <row r="1060">
      <c r="AP1060" s="105" t="n"/>
      <c r="AQ1060" s="105" t="n"/>
      <c r="AX1060" s="104" t="n"/>
    </row>
    <row r="1061">
      <c r="AP1061" s="105" t="n"/>
      <c r="AQ1061" s="105" t="n"/>
      <c r="AX1061" s="104" t="n"/>
    </row>
    <row r="1062">
      <c r="AP1062" s="105" t="n"/>
      <c r="AQ1062" s="105" t="n"/>
      <c r="AX1062" s="104" t="n"/>
    </row>
    <row r="1063">
      <c r="AP1063" s="105" t="n"/>
      <c r="AQ1063" s="105" t="n"/>
      <c r="AX1063" s="104" t="n"/>
    </row>
    <row r="1064">
      <c r="AP1064" s="105" t="n"/>
      <c r="AQ1064" s="105" t="n"/>
      <c r="AX1064" s="104" t="n"/>
    </row>
    <row r="1065">
      <c r="AP1065" s="105" t="n"/>
      <c r="AQ1065" s="105" t="n"/>
      <c r="AX1065" s="104" t="n"/>
    </row>
    <row r="1066">
      <c r="AP1066" s="105" t="n"/>
      <c r="AQ1066" s="105" t="n"/>
      <c r="AX1066" s="104" t="n"/>
    </row>
    <row r="1067">
      <c r="AP1067" s="105" t="n"/>
      <c r="AQ1067" s="105" t="n"/>
      <c r="AX1067" s="104" t="n"/>
    </row>
    <row r="1068">
      <c r="AP1068" s="105" t="n"/>
      <c r="AQ1068" s="105" t="n"/>
      <c r="AX1068" s="104" t="n"/>
    </row>
    <row r="1069">
      <c r="AP1069" s="105" t="n"/>
      <c r="AQ1069" s="105" t="n"/>
      <c r="AX1069" s="104" t="n"/>
    </row>
    <row r="1070">
      <c r="AP1070" s="105" t="n"/>
      <c r="AQ1070" s="105" t="n"/>
      <c r="AX1070" s="104" t="n"/>
    </row>
    <row r="1071">
      <c r="AP1071" s="105" t="n"/>
      <c r="AQ1071" s="105" t="n"/>
      <c r="AX1071" s="104" t="n"/>
    </row>
  </sheetData>
  <autoFilter ref="$A$1:$AH$48"/>
  <conditionalFormatting sqref="B2:B177">
    <cfRule type="cellIs" priority="1" operator="greaterThanOrEqual" dxfId="0">
      <formula>8</formula>
    </cfRule>
    <cfRule type="cellIs" priority="2" operator="lessThanOrEqual" dxfId="1">
      <formula>2</formula>
    </cfRule>
  </conditionalFormatting>
  <conditionalFormatting sqref="B1:B1071">
    <cfRule type="notContainsBlanks" priority="3" dxfId="6">
      <formula>LEN(TRIM(B1))&gt;0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196"/>
  <sheetViews>
    <sheetView workbookViewId="0">
      <selection activeCell="A1" sqref="A1"/>
    </sheetView>
  </sheetViews>
  <sheetFormatPr baseColWidth="8" defaultColWidth="12.63" defaultRowHeight="15.75" customHeight="1"/>
  <cols>
    <col width="37.63" customWidth="1" style="128" min="1" max="1"/>
    <col width="22.75" customWidth="1" style="128" min="2" max="2"/>
    <col width="17.38" customWidth="1" style="128" min="3" max="3"/>
    <col width="20.13" customWidth="1" style="128" min="4" max="4"/>
  </cols>
  <sheetData>
    <row r="1">
      <c r="B1" s="107" t="inlineStr">
        <is>
          <t>s- straszny</t>
        </is>
      </c>
      <c r="C1" s="107" t="inlineStr">
        <is>
          <t>z- zabawny</t>
        </is>
      </c>
      <c r="D1" s="107" t="inlineStr">
        <is>
          <t>n-neutralny</t>
        </is>
      </c>
      <c r="E1" s="111" t="n"/>
    </row>
    <row r="4">
      <c r="A4" s="107" t="inlineStr">
        <is>
          <t xml:space="preserve">apostle </t>
        </is>
      </c>
      <c r="B4" s="107" t="inlineStr">
        <is>
          <t>s</t>
        </is>
      </c>
    </row>
    <row r="5">
      <c r="A5" s="107" t="n"/>
    </row>
    <row r="6">
      <c r="A6" s="107" t="inlineStr">
        <is>
          <t>childs play</t>
        </is>
      </c>
      <c r="B6" s="107" t="inlineStr">
        <is>
          <t>n</t>
        </is>
      </c>
    </row>
    <row r="7">
      <c r="A7" s="107" t="inlineStr">
        <is>
          <t>climax</t>
        </is>
      </c>
      <c r="B7" s="107" t="inlineStr">
        <is>
          <t>z</t>
        </is>
      </c>
    </row>
    <row r="8">
      <c r="A8" s="107" t="inlineStr">
        <is>
          <t>crawl</t>
        </is>
      </c>
      <c r="B8" s="107" t="inlineStr">
        <is>
          <t>n</t>
        </is>
      </c>
      <c r="C8" s="107" t="inlineStr">
        <is>
          <t>podwodne</t>
        </is>
      </c>
    </row>
    <row r="9">
      <c r="A9" s="107" t="inlineStr">
        <is>
          <t>cold skin</t>
        </is>
      </c>
      <c r="B9" s="107" t="inlineStr">
        <is>
          <t>n</t>
        </is>
      </c>
      <c r="C9" s="107" t="inlineStr">
        <is>
          <t>podwodne</t>
        </is>
      </c>
    </row>
    <row r="10">
      <c r="A10" s="107" t="inlineStr">
        <is>
          <t>grave encounters</t>
        </is>
      </c>
      <c r="B10" s="107" t="inlineStr">
        <is>
          <t>s</t>
        </is>
      </c>
    </row>
    <row r="11">
      <c r="A11" s="107" t="n"/>
      <c r="B11" s="107" t="inlineStr">
        <is>
          <t>z</t>
        </is>
      </c>
      <c r="C11" s="107" t="inlineStr">
        <is>
          <t>sukienka</t>
        </is>
      </c>
    </row>
    <row r="12">
      <c r="A12" s="107" t="inlineStr">
        <is>
          <t>jigsaw</t>
        </is>
      </c>
      <c r="B12" s="107" t="inlineStr">
        <is>
          <t>z</t>
        </is>
      </c>
    </row>
    <row r="13">
      <c r="A13" s="107" t="n"/>
    </row>
    <row r="14">
      <c r="A14" s="107" t="inlineStr">
        <is>
          <t xml:space="preserve">mayhem </t>
        </is>
      </c>
      <c r="B14" s="107" t="inlineStr">
        <is>
          <t>n</t>
        </is>
      </c>
    </row>
    <row r="15">
      <c r="A15" s="107" t="inlineStr">
        <is>
          <t>one cut of the dead</t>
        </is>
      </c>
      <c r="B15" s="107" t="inlineStr">
        <is>
          <t>z</t>
        </is>
      </c>
      <c r="C15" s="107" t="inlineStr">
        <is>
          <t>japenese zombie</t>
        </is>
      </c>
      <c r="F15" s="107" t="inlineStr">
        <is>
          <t>bez stawskiej</t>
        </is>
      </c>
    </row>
    <row r="16">
      <c r="A16" s="107" t="inlineStr">
        <is>
          <t>overlord</t>
        </is>
      </c>
      <c r="B16" s="107" t="inlineStr">
        <is>
          <t>zs</t>
        </is>
      </c>
    </row>
    <row r="17">
      <c r="A17" s="107" t="inlineStr">
        <is>
          <t>saw new spiral</t>
        </is>
      </c>
      <c r="B17" s="107" t="inlineStr">
        <is>
          <t>s</t>
        </is>
      </c>
    </row>
    <row r="18">
      <c r="A18" s="107" t="inlineStr">
        <is>
          <t>the devils candy</t>
        </is>
      </c>
      <c r="B18" s="107" t="inlineStr">
        <is>
          <t>s</t>
        </is>
      </c>
    </row>
    <row r="19">
      <c r="A19" s="107" t="inlineStr">
        <is>
          <t>the lure</t>
        </is>
      </c>
      <c r="B19" s="107" t="inlineStr">
        <is>
          <t>z</t>
        </is>
      </c>
    </row>
    <row r="20">
      <c r="A20" s="107" t="n"/>
    </row>
    <row r="21">
      <c r="A21" s="107" t="inlineStr">
        <is>
          <t xml:space="preserve">the void </t>
        </is>
      </c>
      <c r="B21" s="107" t="inlineStr">
        <is>
          <t>s</t>
        </is>
      </c>
    </row>
    <row r="22">
      <c r="A22" s="107" t="inlineStr">
        <is>
          <t>tragedy girls</t>
        </is>
      </c>
      <c r="B22" s="107" t="inlineStr">
        <is>
          <t>z</t>
        </is>
      </c>
    </row>
    <row r="23">
      <c r="A23" s="107" t="inlineStr">
        <is>
          <t>velvet buzzsaw</t>
        </is>
      </c>
      <c r="B23" s="107" t="inlineStr">
        <is>
          <t>n</t>
        </is>
      </c>
    </row>
    <row r="24">
      <c r="A24" s="107" t="inlineStr">
        <is>
          <t>veronica</t>
        </is>
      </c>
      <c r="B24" s="107" t="inlineStr">
        <is>
          <t>n</t>
        </is>
      </c>
    </row>
    <row r="25">
      <c r="A25" s="107" t="inlineStr">
        <is>
          <t>zombie bobry</t>
        </is>
      </c>
      <c r="B25" s="107" t="inlineStr">
        <is>
          <t>z</t>
        </is>
      </c>
      <c r="C25" s="107" t="inlineStr">
        <is>
          <t>bez stawskiej</t>
        </is>
      </c>
    </row>
    <row r="26">
      <c r="A26" s="107" t="n"/>
    </row>
    <row r="27">
      <c r="A27" s="107" t="inlineStr">
        <is>
          <t>ghost ship</t>
        </is>
      </c>
    </row>
    <row r="29">
      <c r="A29" s="107" t="inlineStr">
        <is>
          <t>it chapter two</t>
        </is>
      </c>
    </row>
    <row r="32">
      <c r="A32" s="107" t="inlineStr">
        <is>
          <t xml:space="preserve">lighthouse: 2 starych </t>
        </is>
      </c>
    </row>
    <row r="33">
      <c r="A33" s="107" t="inlineStr">
        <is>
          <t>sweetheart</t>
        </is>
      </c>
    </row>
    <row r="34">
      <c r="A34" s="107" t="inlineStr">
        <is>
          <t>lodge</t>
        </is>
      </c>
    </row>
    <row r="35">
      <c r="A35" s="107" t="inlineStr">
        <is>
          <t>endless</t>
        </is>
      </c>
      <c r="C35" s="107" t="inlineStr">
        <is>
          <t>bez stawskiej</t>
        </is>
      </c>
    </row>
    <row r="36">
      <c r="A36" s="107" t="inlineStr">
        <is>
          <t>color out of space</t>
        </is>
      </c>
      <c r="C36" s="107" t="inlineStr">
        <is>
          <t>nicolas cage</t>
        </is>
      </c>
    </row>
    <row r="37">
      <c r="A37" s="113" t="n"/>
      <c r="B37" s="113" t="n"/>
      <c r="C37" s="113" t="n"/>
      <c r="D37" s="113" t="n"/>
      <c r="E37" s="113" t="n"/>
    </row>
    <row r="38">
      <c r="A38" s="107" t="inlineStr">
        <is>
          <t>frighteners</t>
        </is>
      </c>
    </row>
    <row r="39">
      <c r="A39" s="107" t="inlineStr">
        <is>
          <t xml:space="preserve">it  </t>
        </is>
      </c>
    </row>
    <row r="40">
      <c r="A40" s="107" t="inlineStr">
        <is>
          <t>horns</t>
        </is>
      </c>
    </row>
    <row r="41">
      <c r="A41" s="107" t="inlineStr">
        <is>
          <t>the stuff</t>
        </is>
      </c>
      <c r="B41" s="107" t="inlineStr">
        <is>
          <t>z</t>
        </is>
      </c>
      <c r="C41" s="107" t="inlineStr">
        <is>
          <t>bez stawskiej</t>
        </is>
      </c>
    </row>
    <row r="42">
      <c r="A42" s="107" t="inlineStr">
        <is>
          <t>wrong turn</t>
        </is>
      </c>
      <c r="B42" s="107" t="inlineStr">
        <is>
          <t>s</t>
        </is>
      </c>
    </row>
    <row r="44">
      <c r="A44" s="107" t="inlineStr">
        <is>
          <t>unholy</t>
        </is>
      </c>
      <c r="B44" s="107" t="inlineStr">
        <is>
          <t>n</t>
        </is>
      </c>
    </row>
    <row r="45">
      <c r="A45" s="107" t="inlineStr">
        <is>
          <t>what lies below</t>
        </is>
      </c>
    </row>
    <row r="46">
      <c r="A46" s="107" t="inlineStr">
        <is>
          <t>empty man</t>
        </is>
      </c>
      <c r="B46" s="107" t="inlineStr">
        <is>
          <t>n</t>
        </is>
      </c>
    </row>
    <row r="47">
      <c r="A47" s="107" t="inlineStr">
        <is>
          <t>fantasy island</t>
        </is>
      </c>
      <c r="B47" s="107" t="inlineStr">
        <is>
          <t>n</t>
        </is>
      </c>
    </row>
    <row r="48">
      <c r="B48" s="107" t="inlineStr">
        <is>
          <t>s</t>
        </is>
      </c>
    </row>
    <row r="50">
      <c r="A50" s="107" t="inlineStr">
        <is>
          <t>the dead dont die</t>
        </is>
      </c>
      <c r="B50" s="107" t="inlineStr">
        <is>
          <t>z</t>
        </is>
      </c>
      <c r="C50" s="107" t="inlineStr">
        <is>
          <t>podobno w chuj nuda</t>
        </is>
      </c>
    </row>
    <row r="52">
      <c r="A52" s="107" t="inlineStr">
        <is>
          <t>labirynt swiadomosci</t>
        </is>
      </c>
    </row>
    <row r="53">
      <c r="A53" s="107" t="n"/>
    </row>
    <row r="54">
      <c r="A54" s="107" t="inlineStr">
        <is>
          <t>paranormal entity</t>
        </is>
      </c>
    </row>
    <row r="55">
      <c r="A55" s="107" t="inlineStr">
        <is>
          <t>rekiny vs wiezniarki</t>
        </is>
      </c>
    </row>
    <row r="57">
      <c r="A57" s="107" t="inlineStr">
        <is>
          <t>bunny the killer thing</t>
        </is>
      </c>
    </row>
    <row r="60">
      <c r="A60" s="107" t="inlineStr">
        <is>
          <t>komedie:</t>
        </is>
      </c>
    </row>
    <row r="61">
      <c r="A61" s="114" t="n"/>
    </row>
    <row r="62">
      <c r="A62" s="115" t="inlineStr">
        <is>
          <t>Na noże</t>
        </is>
      </c>
    </row>
    <row r="63">
      <c r="A63" s="116" t="inlineStr">
        <is>
          <t>Mamma Mia! Here We Go Again</t>
        </is>
      </c>
      <c r="B63" s="107" t="inlineStr">
        <is>
          <t xml:space="preserve">dla lokatora </t>
        </is>
      </c>
    </row>
    <row r="64">
      <c r="A64" s="117" t="inlineStr">
        <is>
          <t>Napoleon Wybuchowiec</t>
        </is>
      </c>
    </row>
    <row r="65">
      <c r="A65" s="118" t="n"/>
    </row>
    <row r="67">
      <c r="A67" s="107" t="inlineStr">
        <is>
          <t>7 smiertelnych zyczen - 7/10</t>
        </is>
      </c>
    </row>
    <row r="68">
      <c r="A68" s="107" t="inlineStr">
        <is>
          <t>the deep house - sredniak</t>
        </is>
      </c>
    </row>
    <row r="69">
      <c r="A69" s="107" t="inlineStr">
        <is>
          <t>dom nocny 7/10</t>
        </is>
      </c>
    </row>
    <row r="70">
      <c r="A70" s="107" t="inlineStr">
        <is>
          <t>paranormal activity the ghost dimension</t>
        </is>
      </c>
    </row>
    <row r="71">
      <c r="A71" s="119" t="n"/>
    </row>
    <row r="74">
      <c r="A74" s="119" t="n"/>
      <c r="J74" s="107" t="n">
        <v>2</v>
      </c>
    </row>
    <row r="77">
      <c r="A77" s="107" t="inlineStr">
        <is>
          <t>3 from hell</t>
        </is>
      </c>
    </row>
    <row r="79">
      <c r="A79" s="107" t="inlineStr">
        <is>
          <t>vicious fun</t>
        </is>
      </c>
    </row>
    <row r="80">
      <c r="A80" s="107" t="inlineStr">
        <is>
          <t>martyrs lane</t>
        </is>
      </c>
    </row>
    <row r="82">
      <c r="A82" s="107" t="inlineStr">
        <is>
          <t>32 malasana street</t>
        </is>
      </c>
      <c r="B82" s="107" t="inlineStr">
        <is>
          <t>niepopularne</t>
        </is>
      </c>
    </row>
    <row r="83">
      <c r="A83" s="101" t="inlineStr">
        <is>
          <t>Impetigore</t>
        </is>
      </c>
      <c r="B83" s="107" t="inlineStr">
        <is>
          <t>trzeba</t>
        </is>
      </c>
      <c r="J83" s="107" t="n">
        <v>3</v>
      </c>
    </row>
    <row r="85">
      <c r="A85" s="107" t="inlineStr">
        <is>
          <t>black christmas</t>
        </is>
      </c>
      <c r="B85" s="107" t="inlineStr">
        <is>
          <t>na 2022 swieta</t>
        </is>
      </c>
    </row>
    <row r="86">
      <c r="A86" s="107" t="inlineStr">
        <is>
          <t>THE POOL</t>
        </is>
      </c>
    </row>
    <row r="94">
      <c r="A94" s="107" t="inlineStr">
        <is>
          <t>Offseason</t>
        </is>
      </c>
      <c r="B94" s="107" t="inlineStr">
        <is>
          <t>shudderowy polecany</t>
        </is>
      </c>
    </row>
    <row r="95">
      <c r="A95" s="107" t="inlineStr">
        <is>
          <t>The woman</t>
        </is>
      </c>
      <c r="B95" s="107" t="inlineStr">
        <is>
          <t>wiezi typke i cywilizuje xd must na 1</t>
        </is>
      </c>
    </row>
    <row r="96">
      <c r="A96" s="107" t="inlineStr">
        <is>
          <t>koko di koko da</t>
        </is>
      </c>
      <c r="B96" s="107" t="inlineStr">
        <is>
          <t>yyy...?</t>
        </is>
      </c>
    </row>
    <row r="98">
      <c r="A98" s="120" t="inlineStr">
        <is>
          <t>włosy the horror:</t>
        </is>
      </c>
    </row>
    <row r="99">
      <c r="A99" s="93" t="inlineStr">
        <is>
          <t>bad hair</t>
        </is>
      </c>
    </row>
    <row r="100">
      <c r="A100" s="93" t="inlineStr">
        <is>
          <t>exte</t>
        </is>
      </c>
    </row>
    <row r="101">
      <c r="A101" s="93" t="inlineStr">
        <is>
          <t>peruka</t>
        </is>
      </c>
    </row>
    <row r="103">
      <c r="A103" s="120" t="inlineStr">
        <is>
          <t>jednoliterowe są tylko dwa:</t>
        </is>
      </c>
    </row>
    <row r="104">
      <c r="A104" s="93" t="inlineStr">
        <is>
          <t>Z</t>
        </is>
      </c>
    </row>
    <row r="105">
      <c r="A105" s="93" t="inlineStr">
        <is>
          <t>X</t>
        </is>
      </c>
    </row>
    <row r="106">
      <c r="A106" s="93" t="inlineStr">
        <is>
          <t>XX</t>
        </is>
      </c>
    </row>
    <row r="108">
      <c r="A108" s="120" t="inlineStr">
        <is>
          <t>geometryczne:</t>
        </is>
      </c>
    </row>
    <row r="109">
      <c r="A109" s="93" t="inlineStr">
        <is>
          <t>radius</t>
        </is>
      </c>
    </row>
    <row r="110">
      <c r="A110" s="93" t="inlineStr">
        <is>
          <t>circle</t>
        </is>
      </c>
    </row>
    <row r="111">
      <c r="A111" s="93" t="inlineStr">
        <is>
          <t>spiral</t>
        </is>
      </c>
    </row>
    <row r="112">
      <c r="A112" s="93" t="inlineStr">
        <is>
          <t>triangle</t>
        </is>
      </c>
    </row>
    <row r="113">
      <c r="A113" s="93" t="inlineStr">
        <is>
          <t>sphere</t>
        </is>
      </c>
    </row>
    <row r="114">
      <c r="A114" s="93" t="inlineStr">
        <is>
          <t>ring</t>
        </is>
      </c>
    </row>
    <row r="116">
      <c r="A116" s="93" t="inlineStr">
        <is>
          <t>Klub samobójców</t>
        </is>
      </c>
      <c r="B116" s="93" t="inlineStr">
        <is>
          <t>od tego kolesia co TAG</t>
        </is>
      </c>
    </row>
    <row r="117">
      <c r="A117" s="93" t="inlineStr">
        <is>
          <t>noriko dinner table</t>
        </is>
      </c>
      <c r="B117" s="93" t="inlineStr">
        <is>
          <t>kontynuacja, trzeba obejrzec 2 naraz</t>
        </is>
      </c>
    </row>
    <row r="118">
      <c r="A118" s="107" t="inlineStr">
        <is>
          <t>kotodama spiritual curse</t>
        </is>
      </c>
      <c r="B118" s="107" t="inlineStr">
        <is>
          <t>moze byc podobne ale tego nie obiecuje</t>
        </is>
      </c>
    </row>
    <row r="119">
      <c r="A119" s="107" t="inlineStr">
        <is>
          <t>mutant girl squad</t>
        </is>
      </c>
      <c r="B119" s="107" t="inlineStr">
        <is>
          <t>pojebane na pierwsze</t>
        </is>
      </c>
    </row>
    <row r="121">
      <c r="A121" s="120" t="n"/>
    </row>
    <row r="122">
      <c r="A122" s="93" t="n"/>
    </row>
    <row r="123">
      <c r="A123" s="93" t="n"/>
    </row>
    <row r="124">
      <c r="A124" s="93" t="inlineStr">
        <is>
          <t>room 203</t>
        </is>
      </c>
    </row>
    <row r="125">
      <c r="A125" s="93" t="n"/>
    </row>
    <row r="127">
      <c r="A127" s="107" t="inlineStr">
        <is>
          <t>baskin</t>
        </is>
      </c>
      <c r="B127" s="107" t="inlineStr">
        <is>
          <t>turcki horror</t>
        </is>
      </c>
    </row>
    <row r="162">
      <c r="A162" s="121" t="n"/>
    </row>
    <row r="163">
      <c r="A163" s="121" t="inlineStr">
        <is>
          <t>noc VS:</t>
        </is>
      </c>
    </row>
    <row r="164">
      <c r="A164" s="122" t="inlineStr">
        <is>
          <t>Sadako vs. Kayako</t>
        </is>
      </c>
      <c r="B164" s="107" t="inlineStr">
        <is>
          <t>czyli ring i grudge</t>
        </is>
      </c>
    </row>
    <row r="165">
      <c r="A165" s="123" t="inlineStr">
        <is>
          <t>Bunshinsaba vs Sadako</t>
        </is>
      </c>
      <c r="B165" s="107" t="inlineStr">
        <is>
          <t>najpierw bunshibabe?</t>
        </is>
      </c>
    </row>
    <row r="166">
      <c r="A166" s="123" t="inlineStr">
        <is>
          <t>Bunshinsaba vs Sadako 2</t>
        </is>
      </c>
    </row>
    <row r="167">
      <c r="A167" s="124" t="inlineStr">
        <is>
          <t>Hikiko-san vs. Sadako</t>
        </is>
      </c>
    </row>
    <row r="168">
      <c r="A168" s="123" t="inlineStr">
        <is>
          <t>Hikiko-san vs. Kokkuri-san</t>
        </is>
      </c>
    </row>
    <row r="169">
      <c r="A169" s="121" t="inlineStr">
        <is>
          <t>kuchisake onna vs hikiko-san</t>
        </is>
      </c>
    </row>
    <row r="170">
      <c r="A170" s="123" t="inlineStr">
        <is>
          <t>Kuchisake-onna VS Mary-san</t>
        </is>
      </c>
    </row>
    <row r="171">
      <c r="A171" s="125" t="inlineStr">
        <is>
          <t>Kuchisake-Onna Vs Kashima-San</t>
        </is>
      </c>
    </row>
    <row r="172">
      <c r="A172" s="123" t="inlineStr">
        <is>
          <t>Kuchisake-onna vs. Kashima-san 2</t>
        </is>
      </c>
    </row>
    <row r="183">
      <c r="A183" s="107" t="inlineStr">
        <is>
          <t>lista osara:</t>
        </is>
      </c>
    </row>
    <row r="185">
      <c r="A185" s="126" t="n"/>
      <c r="C185" s="127" t="n"/>
    </row>
    <row r="186">
      <c r="A186" s="127" t="inlineStr">
        <is>
          <t>The house in sheerwood</t>
        </is>
      </c>
      <c r="B186" s="107" t="inlineStr">
        <is>
          <t>s - ida do domu ale slaby trailer</t>
        </is>
      </c>
      <c r="C186" s="101" t="inlineStr">
        <is>
          <t>Let the Right One In</t>
        </is>
      </c>
      <c r="D186" s="107" t="inlineStr">
        <is>
          <t>taki se wampir dzieci ciekawy pod fabularnym wzgledem jak juz</t>
        </is>
      </c>
    </row>
    <row r="187">
      <c r="A187" s="126" t="inlineStr">
        <is>
          <t>Fear footage</t>
        </is>
      </c>
      <c r="B187" s="107" t="inlineStr">
        <is>
          <t>sss - idzie do domu w chuj straszny</t>
        </is>
      </c>
      <c r="C187" s="107" t="inlineStr">
        <is>
          <t>harpoon</t>
        </is>
      </c>
      <c r="D187" s="107" t="inlineStr">
        <is>
          <t>komedia gdzie zabijaja sie na jachcie xd</t>
        </is>
      </c>
    </row>
    <row r="188">
      <c r="A188" s="127" t="inlineStr">
        <is>
          <t>Scariest night of your life</t>
        </is>
      </c>
      <c r="B188" s="107" t="inlineStr">
        <is>
          <t>cool</t>
        </is>
      </c>
      <c r="C188" s="107" t="inlineStr">
        <is>
          <t>the last gateway</t>
        </is>
      </c>
      <c r="D188" s="107" t="inlineStr">
        <is>
          <t>na ostatni dziwny shit horror od tworcy terrified</t>
        </is>
      </c>
    </row>
    <row r="189">
      <c r="A189" s="107" t="inlineStr">
        <is>
          <t>the house 2019</t>
        </is>
      </c>
      <c r="B189" s="107" t="inlineStr">
        <is>
          <t>lata 1900 egzor</t>
        </is>
      </c>
      <c r="C189" s="107" t="inlineStr">
        <is>
          <t>housebound</t>
        </is>
      </c>
      <c r="D189" s="107" t="inlineStr">
        <is>
          <t>cool sredniak</t>
        </is>
      </c>
    </row>
    <row r="190">
      <c r="A190" s="107" t="inlineStr">
        <is>
          <t>archive 253</t>
        </is>
      </c>
      <c r="B190" s="107" t="inlineStr">
        <is>
          <t>no ida do szpitala xd</t>
        </is>
      </c>
      <c r="C190" s="107" t="inlineStr">
        <is>
          <t>martyrs</t>
        </is>
      </c>
      <c r="D190" s="107" t="inlineStr">
        <is>
          <t>max pojeb gore</t>
        </is>
      </c>
    </row>
    <row r="191">
      <c r="A191" s="107" t="inlineStr">
        <is>
          <t>la influenca</t>
        </is>
      </c>
      <c r="B191" s="107" t="inlineStr">
        <is>
          <t>duzo sie dzieje jest git o babci spiacej</t>
        </is>
      </c>
    </row>
    <row r="192">
      <c r="A192" s="107" t="inlineStr">
        <is>
          <t>dont listen (voces)</t>
        </is>
      </c>
      <c r="C192" s="107" t="inlineStr">
        <is>
          <t>the killing of a sacred dear</t>
        </is>
      </c>
      <c r="D192" s="107" t="inlineStr">
        <is>
          <t>psychologiczny horror</t>
        </is>
      </c>
    </row>
    <row r="193">
      <c r="C193" s="107" t="inlineStr">
        <is>
          <t>km31-2</t>
        </is>
      </c>
      <c r="D193" s="107" t="inlineStr">
        <is>
          <t>nie wiem XD moze byc very gut</t>
        </is>
      </c>
      <c r="F193" s="107" t="inlineStr">
        <is>
          <t>ale trzeba wtedy puscic tez km31-1</t>
        </is>
      </c>
    </row>
    <row r="194">
      <c r="C194" s="107" t="inlineStr">
        <is>
          <t>kandisha</t>
        </is>
      </c>
      <c r="D194" s="107" t="inlineStr">
        <is>
          <t>ponad sredniak?</t>
        </is>
      </c>
    </row>
    <row r="195">
      <c r="C195" s="107" t="inlineStr">
        <is>
          <t>the darkness (duchy kanionu) 2019</t>
        </is>
      </c>
      <c r="D195" s="107" t="inlineStr">
        <is>
          <t>dziecko nawiedzone nowe sredniak total</t>
        </is>
      </c>
    </row>
    <row r="196">
      <c r="C196" s="107" t="inlineStr">
        <is>
          <t>a classic horror story</t>
        </is>
      </c>
      <c r="D196" s="107" t="inlineStr">
        <is>
          <t>dzis w lesie nie zasnie nikt ale dobre (wloskie)</t>
        </is>
      </c>
    </row>
  </sheetData>
  <hyperlinks>
    <hyperlink xmlns:r="http://schemas.openxmlformats.org/officeDocument/2006/relationships" ref="A62" r:id="rId1"/>
    <hyperlink xmlns:r="http://schemas.openxmlformats.org/officeDocument/2006/relationships" ref="A63" r:id="rId2"/>
    <hyperlink xmlns:r="http://schemas.openxmlformats.org/officeDocument/2006/relationships" ref="A64" r:id="rId3"/>
    <hyperlink xmlns:r="http://schemas.openxmlformats.org/officeDocument/2006/relationships" ref="A164" r:id="rId4"/>
    <hyperlink xmlns:r="http://schemas.openxmlformats.org/officeDocument/2006/relationships" ref="A167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2026-06-06T07:57:11Z</dcterms:created>
  <dcterms:modified xmlns:dcterms="http://purl.org/dc/terms/" xmlns:xsi="http://www.w3.org/2001/XMLSchema-instance" xsi:type="dcterms:W3CDTF">2026-09-29T11:43:54Z</dcterms:modified>
</cp:coreProperties>
</file>